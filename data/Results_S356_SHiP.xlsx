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itial_magnetization_curve"/>
    <sheet r:id="rId2" sheetId="2" name="Major_hysteresis_loop"/>
    <sheet r:id="rId3" sheetId="3" name="Statistics"/>
  </sheets>
  <calcPr fullCalcOnLoad="1"/>
</workbook>
</file>

<file path=xl/sharedStrings.xml><?xml version="1.0" encoding="utf-8"?>
<sst xmlns="http://schemas.openxmlformats.org/spreadsheetml/2006/main" count="209" uniqueCount="77">
  <si>
    <t>Cross-section dispersion</t>
  </si>
  <si>
    <t>In-plate dispersion Plate 1</t>
  </si>
  <si>
    <t>In-plate dispersion Plate 2</t>
  </si>
  <si>
    <t>In-plate dispersion Plate 3</t>
  </si>
  <si>
    <t>Plate-to-plate uniformity</t>
  </si>
  <si>
    <t>H (A/m)</t>
  </si>
  <si>
    <t>Plate 1 - MPE</t>
  </si>
  <si>
    <t>Plate 1 - MPM</t>
  </si>
  <si>
    <t>Std (%)</t>
  </si>
  <si>
    <t>Semi-diff (%)</t>
  </si>
  <si>
    <t>S356</t>
  </si>
  <si>
    <t>Plate 1</t>
  </si>
  <si>
    <t>Plate 2</t>
  </si>
  <si>
    <t>Plate 3</t>
  </si>
  <si>
    <t>MPE</t>
  </si>
  <si>
    <t>MPM</t>
  </si>
  <si>
    <t>1A - Top</t>
  </si>
  <si>
    <t>1B - Center</t>
  </si>
  <si>
    <t>1C - Bottom</t>
  </si>
  <si>
    <t>4A - Top</t>
  </si>
  <si>
    <t>4B - Center</t>
  </si>
  <si>
    <t>4C - Bottom</t>
  </si>
  <si>
    <t>5A - Top</t>
  </si>
  <si>
    <t>5B - Center</t>
  </si>
  <si>
    <t>5C - Bottom</t>
  </si>
  <si>
    <t>8A - Top</t>
  </si>
  <si>
    <t>8B - Center</t>
  </si>
  <si>
    <t>8C - Bottom</t>
  </si>
  <si>
    <t>9A - Top</t>
  </si>
  <si>
    <t>9B - Center</t>
  </si>
  <si>
    <t>9C - Bottom</t>
  </si>
  <si>
    <t>12A - Top</t>
  </si>
  <si>
    <t>12B - Center</t>
  </si>
  <si>
    <t>12C - Bottom</t>
  </si>
  <si>
    <t>B(T)</t>
  </si>
  <si>
    <t>Not cut</t>
  </si>
  <si>
    <t>Max measured</t>
  </si>
  <si>
    <t>1A</t>
  </si>
  <si>
    <t>1B</t>
  </si>
  <si>
    <t>1C</t>
  </si>
  <si>
    <t>4A</t>
  </si>
  <si>
    <t>4B</t>
  </si>
  <si>
    <t>4C</t>
  </si>
  <si>
    <t>5A</t>
  </si>
  <si>
    <t>5B</t>
  </si>
  <si>
    <t>5C</t>
  </si>
  <si>
    <t>8A</t>
  </si>
  <si>
    <t>8B</t>
  </si>
  <si>
    <t>8C</t>
  </si>
  <si>
    <t>9A</t>
  </si>
  <si>
    <t>9B</t>
  </si>
  <si>
    <t>9C</t>
  </si>
  <si>
    <t>12A</t>
  </si>
  <si>
    <t>12B</t>
  </si>
  <si>
    <t>12C</t>
  </si>
  <si>
    <t>Hc (A/m)</t>
  </si>
  <si>
    <t>Br (T)</t>
  </si>
  <si>
    <t>AVERAGE</t>
  </si>
  <si>
    <t>1A-Top</t>
  </si>
  <si>
    <t>1B-Middle</t>
  </si>
  <si>
    <t>1C-Bottom</t>
  </si>
  <si>
    <t>4A-Top</t>
  </si>
  <si>
    <t>4B-Middle</t>
  </si>
  <si>
    <t>4C-Bottom</t>
  </si>
  <si>
    <t>μr (-)</t>
  </si>
  <si>
    <t>5A-Top</t>
  </si>
  <si>
    <t>5B-Middle</t>
  </si>
  <si>
    <t>5C-Bottom</t>
  </si>
  <si>
    <t>8A-Top</t>
  </si>
  <si>
    <t>8B-Middle</t>
  </si>
  <si>
    <t>8C-Bottom</t>
  </si>
  <si>
    <t>9A-Top</t>
  </si>
  <si>
    <t>9B-Middle</t>
  </si>
  <si>
    <t>9C-Bottom</t>
  </si>
  <si>
    <t>12A-Top</t>
  </si>
  <si>
    <t>12B-Middle</t>
  </si>
  <si>
    <t>12C-Bottom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</si>
</sst>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#,##0.0"/>
    <numFmt numFmtId="165" formatCode="#,##0.000"/>
    <numFmt numFmtId="166" formatCode="#,##0.0000"/>
    <numFmt numFmtId="167" formatCode="#,##0.000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6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4" applyNumberFormat="1" borderId="3" applyBorder="1" fontId="1" applyFont="1" fillId="0" applyAlignment="1">
      <alignment horizontal="center"/>
    </xf>
    <xf xfId="0" numFmtId="164" applyNumberFormat="1" borderId="4" applyBorder="1" fontId="1" applyFont="1" fillId="0" applyAlignment="1">
      <alignment horizontal="center"/>
    </xf>
    <xf xfId="0" numFmtId="4" applyNumberFormat="1" borderId="5" applyBorder="1" fontId="1" applyFont="1" fillId="0" applyAlignment="1">
      <alignment horizontal="center"/>
    </xf>
    <xf xfId="0" numFmtId="164" applyNumberFormat="1" borderId="6" applyBorder="1" fontId="1" applyFont="1" fillId="0" applyAlignment="1">
      <alignment horizontal="center"/>
    </xf>
    <xf xfId="0" numFmtId="4" applyNumberFormat="1" borderId="7" applyBorder="1" fontId="1" applyFont="1" fillId="0" applyAlignment="1">
      <alignment horizontal="center"/>
    </xf>
    <xf xfId="0" numFmtId="164" applyNumberFormat="1" borderId="4" applyBorder="1" fontId="2" applyFont="1" fillId="0" applyAlignment="1">
      <alignment horizontal="right"/>
    </xf>
    <xf xfId="0" numFmtId="4" applyNumberFormat="1" borderId="8" applyBorder="1" fontId="2" applyFont="1" fillId="0" applyAlignment="1">
      <alignment horizontal="center"/>
    </xf>
    <xf xfId="0" numFmtId="4" applyNumberFormat="1" borderId="5" applyBorder="1" fontId="2" applyFont="1" fillId="0" applyAlignment="1">
      <alignment horizontal="center"/>
    </xf>
    <xf xfId="0" numFmtId="164" applyNumberFormat="1" borderId="6" applyBorder="1" fontId="2" applyFont="1" fillId="0" applyAlignment="1">
      <alignment horizontal="right"/>
    </xf>
    <xf xfId="0" numFmtId="4" applyNumberFormat="1" borderId="7" applyBorder="1" fontId="2" applyFont="1" fillId="0" applyAlignment="1">
      <alignment horizontal="center"/>
    </xf>
    <xf xfId="0" numFmtId="164" applyNumberFormat="1" borderId="4" applyBorder="1" fontId="3" applyFont="1" fillId="0" applyAlignment="1">
      <alignment horizontal="right"/>
    </xf>
    <xf xfId="0" numFmtId="4" applyNumberFormat="1" borderId="5" applyBorder="1" fontId="3" applyFont="1" fillId="0" applyAlignment="1">
      <alignment horizontal="center"/>
    </xf>
    <xf xfId="0" numFmtId="4" applyNumberFormat="1" borderId="9" applyBorder="1" fontId="2" applyFont="1" fillId="0" applyAlignment="1">
      <alignment horizontal="center"/>
    </xf>
    <xf xfId="0" numFmtId="164" applyNumberFormat="1" borderId="6" applyBorder="1" fontId="3" applyFont="1" fillId="0" applyAlignment="1">
      <alignment horizontal="right"/>
    </xf>
    <xf xfId="0" numFmtId="4" applyNumberFormat="1" borderId="7" applyBorder="1" fontId="3" applyFont="1" fillId="0" applyAlignment="1">
      <alignment horizontal="center"/>
    </xf>
    <xf xfId="0" numFmtId="164" applyNumberFormat="1" borderId="10" applyBorder="1" fontId="2" applyFont="1" fillId="0" applyAlignment="1">
      <alignment horizontal="right"/>
    </xf>
    <xf xfId="0" numFmtId="4" applyNumberFormat="1" borderId="11" applyBorder="1" fontId="2" applyFont="1" fillId="0" applyAlignment="1">
      <alignment horizontal="center"/>
    </xf>
    <xf xfId="0" numFmtId="4" applyNumberFormat="1" borderId="12" applyBorder="1" fontId="2" applyFont="1" fillId="0" applyAlignment="1">
      <alignment horizontal="center"/>
    </xf>
    <xf xfId="0" numFmtId="164" applyNumberFormat="1" borderId="10" applyBorder="1" fontId="3" applyFont="1" fillId="0" applyAlignment="1">
      <alignment horizontal="right"/>
    </xf>
    <xf xfId="0" numFmtId="4" applyNumberFormat="1" borderId="12" applyBorder="1" fontId="3" applyFont="1" fillId="0" applyAlignment="1">
      <alignment horizontal="center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center"/>
    </xf>
    <xf xfId="0" numFmtId="164" applyNumberFormat="1" borderId="1" applyBorder="1" fontId="1" applyFont="1" fillId="0" applyAlignment="1">
      <alignment horizontal="left"/>
    </xf>
    <xf xfId="0" numFmtId="165" applyNumberFormat="1" borderId="2" applyBorder="1" fontId="1" applyFont="1" fillId="0" applyAlignment="1">
      <alignment horizontal="left"/>
    </xf>
    <xf xfId="0" numFmtId="166" applyNumberFormat="1" borderId="2" applyBorder="1" fontId="1" applyFont="1" fillId="0" applyAlignment="1">
      <alignment horizontal="left"/>
    </xf>
    <xf xfId="0" numFmtId="164" applyNumberFormat="1" borderId="2" applyBorder="1" fontId="1" applyFont="1" fillId="0" applyAlignment="1">
      <alignment horizontal="left"/>
    </xf>
    <xf xfId="0" numFmtId="166" applyNumberFormat="1" borderId="3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2" applyBorder="1" fontId="1" applyFont="1" fillId="0" applyAlignment="1">
      <alignment horizontal="center"/>
    </xf>
    <xf xfId="0" numFmtId="166" applyNumberFormat="1" borderId="2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166" applyNumberFormat="1" borderId="3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165" applyNumberFormat="1" borderId="3" applyBorder="1" fontId="1" applyFont="1" fillId="0" applyAlignment="1">
      <alignment horizontal="center"/>
    </xf>
    <xf xfId="0" numFmtId="165" applyNumberFormat="1" borderId="5" applyBorder="1" fontId="1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166" applyNumberFormat="1" borderId="5" applyBorder="1" fontId="2" applyFont="1" fillId="0" applyAlignment="1">
      <alignment horizontal="right"/>
    </xf>
    <xf xfId="0" numFmtId="164" applyNumberFormat="1" borderId="8" applyBorder="1" fontId="2" applyFont="1" fillId="0" applyAlignment="1">
      <alignment horizontal="right"/>
    </xf>
    <xf xfId="0" numFmtId="0" borderId="4" applyBorder="1" fontId="1" applyFont="1" fillId="0" applyAlignment="1">
      <alignment horizontal="center" vertical="top"/>
    </xf>
    <xf xfId="0" numFmtId="164" applyNumberFormat="1" borderId="5" applyBorder="1" fontId="1" applyFont="1" fillId="0" applyAlignment="1">
      <alignment horizontal="center"/>
    </xf>
    <xf xfId="0" numFmtId="166" applyNumberFormat="1" borderId="7" applyBorder="1" fontId="2" applyFont="1" fillId="0" applyAlignment="1">
      <alignment horizontal="right"/>
    </xf>
    <xf xfId="0" numFmtId="164" applyNumberFormat="1" borderId="9" applyBorder="1" fontId="2" applyFont="1" fillId="0" applyAlignment="1">
      <alignment horizontal="right"/>
    </xf>
    <xf xfId="0" numFmtId="164" applyNumberFormat="1" borderId="7" applyBorder="1" fontId="1" applyFont="1" fillId="0" applyAlignment="1">
      <alignment horizontal="center"/>
    </xf>
    <xf xfId="0" numFmtId="166" applyNumberFormat="1" borderId="12" applyBorder="1" fontId="2" applyFont="1" fillId="0" applyAlignment="1">
      <alignment horizontal="right"/>
    </xf>
    <xf xfId="0" numFmtId="164" applyNumberFormat="1" borderId="11" applyBorder="1" fontId="2" applyFont="1" fillId="0" applyAlignment="1">
      <alignment horizontal="right"/>
    </xf>
    <xf xfId="0" numFmtId="164" applyNumberFormat="1" borderId="10" applyBorder="1" fontId="1" applyFont="1" fillId="0" applyAlignment="1">
      <alignment horizontal="center"/>
    </xf>
    <xf xfId="0" numFmtId="164" applyNumberFormat="1" borderId="12" applyBorder="1" fontId="1" applyFont="1" fillId="0" applyAlignment="1">
      <alignment horizontal="center"/>
    </xf>
    <xf xfId="0" numFmtId="167" applyNumberFormat="1" borderId="9" applyBorder="1" fontId="2" applyFont="1" fillId="0" applyAlignment="1">
      <alignment horizontal="right"/>
    </xf>
    <xf xfId="0" numFmtId="165" applyNumberFormat="1" borderId="8" applyBorder="1" fontId="1" applyFont="1" fillId="0" applyAlignment="1">
      <alignment horizontal="center"/>
    </xf>
    <xf xfId="0" numFmtId="0" borderId="8" applyBorder="1" fontId="1" applyFont="1" fillId="0" applyAlignment="1">
      <alignment horizontal="center"/>
    </xf>
    <xf xfId="0" numFmtId="166" applyNumberFormat="1" borderId="8" applyBorder="1" fontId="1" applyFont="1" fillId="0" applyAlignment="1">
      <alignment horizontal="center"/>
    </xf>
    <xf xfId="0" numFmtId="164" applyNumberFormat="1" borderId="4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164" applyNumberFormat="1" borderId="6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164" applyNumberFormat="1" borderId="10" applyBorder="1" fontId="1" applyFont="1" fillId="0" applyAlignment="1">
      <alignment horizontal="left"/>
    </xf>
    <xf xfId="0" numFmtId="165" applyNumberFormat="1" borderId="11" applyBorder="1" fontId="2" applyFont="1" fillId="0" applyAlignment="1">
      <alignment horizontal="center"/>
    </xf>
    <xf xfId="0" numFmtId="165" applyNumberFormat="1" borderId="12" applyBorder="1" fontId="2" applyFont="1" fillId="0" applyAlignment="1">
      <alignment horizontal="center"/>
    </xf>
    <xf xfId="0" numFmtId="0" borderId="10" applyBorder="1" fontId="1" applyFont="1" fillId="0" applyAlignment="1">
      <alignment horizontal="left"/>
    </xf>
    <xf xfId="0" numFmtId="4" applyNumberFormat="1" borderId="9" applyBorder="1" fontId="2" applyFont="1" fillId="0" applyAlignment="1">
      <alignment horizontal="right"/>
    </xf>
    <xf xfId="0" numFmtId="165" applyNumberFormat="1" borderId="9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" applyNumberFormat="1" borderId="2" applyBorder="1" fontId="1" applyFont="1" fillId="0" applyAlignment="1">
      <alignment horizontal="center"/>
    </xf>
    <xf xfId="0" numFmtId="1" applyNumberFormat="1" borderId="3" applyBorder="1" fontId="1" applyFont="1" fillId="0" applyAlignment="1">
      <alignment horizontal="center"/>
    </xf>
    <xf xfId="0" numFmtId="1" applyNumberFormat="1" borderId="0" fontId="0" fillId="0" applyAlignment="1">
      <alignment horizontal="general"/>
    </xf>
    <xf xfId="0" numFmtId="166" applyNumberFormat="1" borderId="9" applyBorder="1" fontId="1" applyFont="1" fillId="0" applyAlignment="1">
      <alignment horizontal="center"/>
    </xf>
    <xf xfId="0" numFmtId="1" applyNumberFormat="1" borderId="7" applyBorder="1" fontId="1" applyFont="1" fillId="0" applyAlignment="1">
      <alignment horizontal="center"/>
    </xf>
    <xf xfId="0" numFmtId="1" applyNumberFormat="1" borderId="5" applyBorder="1" fontId="1" applyFont="1" fillId="0" applyAlignment="1">
      <alignment horizontal="center"/>
    </xf>
    <xf xfId="0" numFmtId="164" applyNumberFormat="1" borderId="4" applyBorder="1" fontId="2" applyFont="1" fillId="0" applyAlignment="1">
      <alignment horizontal="center"/>
    </xf>
    <xf xfId="0" numFmtId="166" applyNumberFormat="1" borderId="8" applyBorder="1" fontId="2" applyFont="1" fillId="0" applyAlignment="1">
      <alignment horizontal="center"/>
    </xf>
    <xf xfId="0" numFmtId="1" applyNumberFormat="1" borderId="5" applyBorder="1" fontId="2" applyFont="1" fillId="0" applyAlignment="1">
      <alignment horizontal="center"/>
    </xf>
    <xf xfId="0" numFmtId="164" applyNumberFormat="1" borderId="6" applyBorder="1" fontId="2" applyFont="1" fillId="0" applyAlignment="1">
      <alignment horizontal="center"/>
    </xf>
    <xf xfId="0" numFmtId="166" applyNumberFormat="1" borderId="9" applyBorder="1" fontId="2" applyFont="1" fillId="0" applyAlignment="1">
      <alignment horizontal="center"/>
    </xf>
    <xf xfId="0" numFmtId="1" applyNumberFormat="1" borderId="7" applyBorder="1" fontId="2" applyFont="1" fillId="0" applyAlignment="1">
      <alignment horizontal="center"/>
    </xf>
    <xf xfId="0" numFmtId="164" applyNumberFormat="1" borderId="10" applyBorder="1" fontId="2" applyFont="1" fillId="0" applyAlignment="1">
      <alignment horizontal="center"/>
    </xf>
    <xf xfId="0" numFmtId="166" applyNumberFormat="1" borderId="11" applyBorder="1" fontId="2" applyFont="1" fillId="0" applyAlignment="1">
      <alignment horizontal="center"/>
    </xf>
    <xf xfId="0" numFmtId="1" applyNumberFormat="1" borderId="12" applyBorder="1" fontId="2" applyFont="1" fillId="0" applyAlignment="1">
      <alignment horizontal="center"/>
    </xf>
    <xf xfId="0" numFmtId="166" applyNumberFormat="1" borderId="9" applyBorder="1" fontId="2" applyFont="1" fillId="0" applyAlignment="1">
      <alignment horizontal="right"/>
    </xf>
    <xf xfId="0" numFmtId="164" applyNumberFormat="1" borderId="4" applyBorder="1" fontId="1" applyFont="1" fillId="0" applyAlignment="1">
      <alignment horizontal="center" vertical="top"/>
    </xf>
    <xf xfId="0" numFmtId="164" applyNumberFormat="1" borderId="8" applyBorder="1" fontId="1" applyFont="1" fillId="0" applyAlignment="1">
      <alignment horizontal="center"/>
    </xf>
    <xf xfId="0" numFmtId="164" applyNumberFormat="1" borderId="9" applyBorder="1" fontId="1" applyFont="1" fillId="0" applyAlignment="1">
      <alignment horizontal="center"/>
    </xf>
    <xf xfId="0" numFmtId="164" applyNumberFormat="1" borderId="11" applyBorder="1" fontId="1" applyFont="1" fillId="0" applyAlignment="1">
      <alignment horizontal="center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423"/>
  <sheetViews>
    <sheetView workbookViewId="0" tabSelected="1"/>
  </sheetViews>
  <sheetFormatPr defaultRowHeight="15" x14ac:dyDescent="0.25"/>
  <cols>
    <col min="1" max="1" style="71" width="11.147857142857141" customWidth="1" bestFit="1"/>
    <col min="2" max="2" style="73" width="13.005" customWidth="1" bestFit="1"/>
    <col min="3" max="3" style="95" width="13.005" customWidth="1" bestFit="1"/>
    <col min="4" max="4" style="71" width="15.719285714285713" customWidth="1" bestFit="1"/>
    <col min="5" max="5" style="73" width="13.005" customWidth="1" bestFit="1"/>
    <col min="6" max="6" style="95" width="13.005" customWidth="1" bestFit="1"/>
    <col min="7" max="7" style="71" width="13.005" customWidth="1" bestFit="1"/>
    <col min="8" max="8" style="73" width="13.005" customWidth="1" bestFit="1"/>
    <col min="9" max="9" style="95" width="13.005" customWidth="1" bestFit="1"/>
    <col min="10" max="10" style="71" width="13.005" customWidth="1" bestFit="1"/>
    <col min="11" max="11" style="73" width="13.005" customWidth="1" bestFit="1"/>
    <col min="12" max="12" style="95" width="13.005" customWidth="1" bestFit="1"/>
    <col min="13" max="13" style="71" width="13.005" customWidth="1" bestFit="1"/>
    <col min="14" max="14" style="73" width="13.005" customWidth="1" bestFit="1"/>
    <col min="15" max="15" style="95" width="13.005" customWidth="1" bestFit="1"/>
    <col min="16" max="16" style="71" width="13.005" customWidth="1" bestFit="1"/>
    <col min="17" max="17" style="73" width="13.005" customWidth="1" bestFit="1"/>
    <col min="18" max="18" style="95" width="13.005" customWidth="1" bestFit="1"/>
    <col min="19" max="19" style="74" width="13.005" customWidth="1" bestFit="1"/>
    <col min="20" max="20" style="74" width="15.719285714285713" customWidth="1" bestFit="1"/>
    <col min="21" max="21" style="74" width="16.005" customWidth="1" bestFit="1"/>
    <col min="22" max="22" style="71" width="13.005" customWidth="1" bestFit="1"/>
    <col min="23" max="23" style="73" width="11.719285714285713" customWidth="1" bestFit="1"/>
    <col min="24" max="24" style="95" width="13.005" customWidth="1" bestFit="1"/>
  </cols>
  <sheetData>
    <row x14ac:dyDescent="0.25" r="1" customHeight="1" ht="21">
      <c r="A1" s="1" t="s">
        <v>10</v>
      </c>
      <c r="B1" s="35"/>
      <c r="C1" s="75"/>
      <c r="D1" s="36"/>
      <c r="E1" s="35"/>
      <c r="F1" s="75"/>
      <c r="G1" s="36"/>
      <c r="H1" s="35"/>
      <c r="I1" s="75"/>
      <c r="J1" s="36"/>
      <c r="K1" s="35"/>
      <c r="L1" s="75"/>
      <c r="M1" s="36"/>
      <c r="N1" s="35"/>
      <c r="O1" s="75"/>
      <c r="P1" s="36"/>
      <c r="Q1" s="35"/>
      <c r="R1" s="76"/>
      <c r="S1" s="30"/>
      <c r="T1" s="30"/>
      <c r="U1" s="30"/>
      <c r="V1" s="33"/>
      <c r="W1" s="32"/>
      <c r="X1" s="77"/>
    </row>
    <row x14ac:dyDescent="0.25" r="2" customHeight="1" ht="21">
      <c r="A2" s="1" t="s">
        <v>11</v>
      </c>
      <c r="B2" s="35"/>
      <c r="C2" s="75"/>
      <c r="D2" s="36"/>
      <c r="E2" s="35"/>
      <c r="F2" s="75"/>
      <c r="G2" s="36"/>
      <c r="H2" s="35"/>
      <c r="I2" s="75"/>
      <c r="J2" s="36"/>
      <c r="K2" s="35"/>
      <c r="L2" s="75"/>
      <c r="M2" s="36"/>
      <c r="N2" s="35"/>
      <c r="O2" s="75"/>
      <c r="P2" s="36"/>
      <c r="Q2" s="35"/>
      <c r="R2" s="76"/>
      <c r="S2" s="30"/>
      <c r="T2" s="30"/>
      <c r="U2" s="30"/>
      <c r="V2" s="33"/>
      <c r="W2" s="32"/>
      <c r="X2" s="77"/>
    </row>
    <row x14ac:dyDescent="0.25" r="3" customHeight="1" ht="21">
      <c r="A3" s="1" t="s">
        <v>14</v>
      </c>
      <c r="B3" s="35"/>
      <c r="C3" s="75"/>
      <c r="D3" s="36"/>
      <c r="E3" s="35"/>
      <c r="F3" s="75"/>
      <c r="G3" s="36"/>
      <c r="H3" s="35"/>
      <c r="I3" s="76"/>
      <c r="J3" s="1" t="s">
        <v>15</v>
      </c>
      <c r="K3" s="35"/>
      <c r="L3" s="75"/>
      <c r="M3" s="36"/>
      <c r="N3" s="35"/>
      <c r="O3" s="75"/>
      <c r="P3" s="36"/>
      <c r="Q3" s="35"/>
      <c r="R3" s="76"/>
      <c r="S3" s="30"/>
      <c r="T3" s="30"/>
      <c r="U3" s="30"/>
      <c r="V3" s="1" t="s">
        <v>57</v>
      </c>
      <c r="W3" s="35"/>
      <c r="X3" s="76"/>
    </row>
    <row x14ac:dyDescent="0.25" r="4" customHeight="1" ht="21">
      <c r="A4" s="6" t="s">
        <v>58</v>
      </c>
      <c r="B4" s="78"/>
      <c r="C4" s="79"/>
      <c r="D4" s="6" t="s">
        <v>59</v>
      </c>
      <c r="E4" s="78"/>
      <c r="F4" s="79"/>
      <c r="G4" s="6" t="s">
        <v>60</v>
      </c>
      <c r="H4" s="78"/>
      <c r="I4" s="79"/>
      <c r="J4" s="6" t="s">
        <v>61</v>
      </c>
      <c r="K4" s="78"/>
      <c r="L4" s="79"/>
      <c r="M4" s="6" t="s">
        <v>62</v>
      </c>
      <c r="N4" s="78"/>
      <c r="O4" s="79"/>
      <c r="P4" s="6" t="s">
        <v>63</v>
      </c>
      <c r="Q4" s="78"/>
      <c r="R4" s="79"/>
      <c r="S4" s="30"/>
      <c r="T4" s="30"/>
      <c r="U4" s="30"/>
      <c r="V4" s="4" t="s">
        <v>5</v>
      </c>
      <c r="W4" s="60" t="s">
        <v>34</v>
      </c>
      <c r="X4" s="80" t="s">
        <v>64</v>
      </c>
    </row>
    <row x14ac:dyDescent="0.25" r="5" customHeight="1" ht="21">
      <c r="A5" s="1" t="s">
        <v>5</v>
      </c>
      <c r="B5" s="35" t="s">
        <v>34</v>
      </c>
      <c r="C5" s="76" t="s">
        <v>64</v>
      </c>
      <c r="D5" s="1" t="s">
        <v>5</v>
      </c>
      <c r="E5" s="35" t="s">
        <v>34</v>
      </c>
      <c r="F5" s="76" t="s">
        <v>64</v>
      </c>
      <c r="G5" s="1" t="s">
        <v>5</v>
      </c>
      <c r="H5" s="35" t="s">
        <v>34</v>
      </c>
      <c r="I5" s="76" t="s">
        <v>64</v>
      </c>
      <c r="J5" s="1" t="s">
        <v>5</v>
      </c>
      <c r="K5" s="35" t="s">
        <v>34</v>
      </c>
      <c r="L5" s="76" t="s">
        <v>64</v>
      </c>
      <c r="M5" s="1" t="s">
        <v>5</v>
      </c>
      <c r="N5" s="35" t="s">
        <v>34</v>
      </c>
      <c r="O5" s="76" t="s">
        <v>64</v>
      </c>
      <c r="P5" s="1" t="s">
        <v>5</v>
      </c>
      <c r="Q5" s="35" t="s">
        <v>34</v>
      </c>
      <c r="R5" s="76" t="s">
        <v>64</v>
      </c>
      <c r="S5" s="30"/>
      <c r="T5" s="30"/>
      <c r="U5" s="30"/>
      <c r="V5" s="81">
        <f>AVERAGE(A6,D6,G6,J6,M6,P6,D47,M47,D88,M88)</f>
      </c>
      <c r="W5" s="82">
        <f>AVERAGE(B6,E6,H6,K6,N6,Q6,E47,N47,E88,N88)</f>
      </c>
      <c r="X5" s="83">
        <f>AVERAGE(C6,F6,I6,L6,O6,R6,F47,O47,F88,O88)</f>
      </c>
    </row>
    <row x14ac:dyDescent="0.25" r="6" customHeight="1" ht="18">
      <c r="A6" s="84">
        <v>4.12507</v>
      </c>
      <c r="B6" s="85">
        <v>0.00125756</v>
      </c>
      <c r="C6" s="86">
        <v>242.598</v>
      </c>
      <c r="D6" s="81">
        <v>4.12194</v>
      </c>
      <c r="E6" s="82">
        <v>0.00130912</v>
      </c>
      <c r="F6" s="83">
        <v>252.736</v>
      </c>
      <c r="G6" s="81">
        <v>4.1232</v>
      </c>
      <c r="H6" s="82">
        <v>0.00135685</v>
      </c>
      <c r="I6" s="83">
        <v>261.87</v>
      </c>
      <c r="J6" s="81">
        <v>4.12182</v>
      </c>
      <c r="K6" s="82">
        <v>0.00125439</v>
      </c>
      <c r="L6" s="83">
        <v>242.177</v>
      </c>
      <c r="M6" s="84">
        <v>4.11624</v>
      </c>
      <c r="N6" s="85">
        <v>0.00140593</v>
      </c>
      <c r="O6" s="86">
        <v>271.803</v>
      </c>
      <c r="P6" s="84">
        <v>4.13065</v>
      </c>
      <c r="Q6" s="85">
        <v>0.0012735</v>
      </c>
      <c r="R6" s="86">
        <v>245.341</v>
      </c>
      <c r="S6" s="30"/>
      <c r="T6" s="30"/>
      <c r="U6" s="30"/>
      <c r="V6" s="84">
        <f>AVERAGE(A7,D7,G7,J7,M7,P7,D48,M48,D89,M89)</f>
      </c>
      <c r="W6" s="85">
        <f>AVERAGE(B7,E7,H7,K7,N7,Q7,E48,N48,E89,N89)</f>
      </c>
      <c r="X6" s="86">
        <f>AVERAGE(C7,F7,I7,L7,O7,R7,F48,O48,F89,O89)</f>
      </c>
    </row>
    <row x14ac:dyDescent="0.25" r="7" customHeight="1" ht="17.25">
      <c r="A7" s="84">
        <v>8.31432</v>
      </c>
      <c r="B7" s="85">
        <v>0.00279035</v>
      </c>
      <c r="C7" s="86">
        <v>267.068</v>
      </c>
      <c r="D7" s="84">
        <v>8.32709</v>
      </c>
      <c r="E7" s="85">
        <v>0.00277937</v>
      </c>
      <c r="F7" s="86">
        <v>265.609</v>
      </c>
      <c r="G7" s="84">
        <v>8.31509</v>
      </c>
      <c r="H7" s="85">
        <v>0.00304446</v>
      </c>
      <c r="I7" s="86">
        <v>291.362</v>
      </c>
      <c r="J7" s="84">
        <v>8.31574</v>
      </c>
      <c r="K7" s="85">
        <v>0.00268223</v>
      </c>
      <c r="L7" s="86">
        <v>256.676</v>
      </c>
      <c r="M7" s="84">
        <v>8.32577</v>
      </c>
      <c r="N7" s="85">
        <v>0.00307004</v>
      </c>
      <c r="O7" s="86">
        <v>293.434</v>
      </c>
      <c r="P7" s="84">
        <v>8.31967</v>
      </c>
      <c r="Q7" s="85">
        <v>0.00276988</v>
      </c>
      <c r="R7" s="86">
        <v>264.938</v>
      </c>
      <c r="S7" s="30"/>
      <c r="T7" s="30"/>
      <c r="U7" s="30"/>
      <c r="V7" s="84">
        <f>AVERAGE(A8,D8,G8,J8,M8,P8,D49,M49,D90,M90)</f>
      </c>
      <c r="W7" s="85">
        <f>AVERAGE(B8,E8,H8,K8,N8,Q8,E49,N49,E90,N90)</f>
      </c>
      <c r="X7" s="86">
        <f>AVERAGE(C8,F8,I8,L8,O8,R8,F49,O49,F90,O90)</f>
      </c>
    </row>
    <row x14ac:dyDescent="0.25" r="8" customHeight="1" ht="17.25">
      <c r="A8" s="84">
        <v>13.0609</v>
      </c>
      <c r="B8" s="85">
        <v>0.00471187</v>
      </c>
      <c r="C8" s="86">
        <v>287.084</v>
      </c>
      <c r="D8" s="84">
        <v>13.0593</v>
      </c>
      <c r="E8" s="85">
        <v>0.00477391</v>
      </c>
      <c r="F8" s="86">
        <v>290.901</v>
      </c>
      <c r="G8" s="84">
        <v>13.0545</v>
      </c>
      <c r="H8" s="85">
        <v>0.00512315</v>
      </c>
      <c r="I8" s="86">
        <v>312.297</v>
      </c>
      <c r="J8" s="84">
        <v>13.0619</v>
      </c>
      <c r="K8" s="85">
        <v>0.00456161</v>
      </c>
      <c r="L8" s="86">
        <v>277.908</v>
      </c>
      <c r="M8" s="84">
        <v>13.0546</v>
      </c>
      <c r="N8" s="85">
        <v>0.0051943</v>
      </c>
      <c r="O8" s="86">
        <v>316.631</v>
      </c>
      <c r="P8" s="84">
        <v>13.0681</v>
      </c>
      <c r="Q8" s="85">
        <v>0.00470627</v>
      </c>
      <c r="R8" s="86">
        <v>286.585</v>
      </c>
      <c r="S8" s="30"/>
      <c r="T8" s="30"/>
      <c r="U8" s="30"/>
      <c r="V8" s="84">
        <f>AVERAGE(A9,D9,G9,J9,M9,P9,D50,M50,D91,M91)</f>
      </c>
      <c r="W8" s="85">
        <f>AVERAGE(B9,E9,H9,K9,N9,Q9,E50,N50,E91,N91)</f>
      </c>
      <c r="X8" s="86">
        <f>AVERAGE(C9,F9,I9,L9,O9,R9,F50,O50,F91,O91)</f>
      </c>
    </row>
    <row x14ac:dyDescent="0.25" r="9" customHeight="1" ht="17.25">
      <c r="A9" s="84">
        <v>17.257</v>
      </c>
      <c r="B9" s="85">
        <v>0.00653851</v>
      </c>
      <c r="C9" s="86">
        <v>301.512</v>
      </c>
      <c r="D9" s="84">
        <v>17.2646</v>
      </c>
      <c r="E9" s="85">
        <v>0.00655259</v>
      </c>
      <c r="F9" s="86">
        <v>302.027</v>
      </c>
      <c r="G9" s="84">
        <v>17.2491</v>
      </c>
      <c r="H9" s="85">
        <v>0.00705499</v>
      </c>
      <c r="I9" s="86">
        <v>325.477</v>
      </c>
      <c r="J9" s="84">
        <v>17.2578</v>
      </c>
      <c r="K9" s="85">
        <v>0.00631343</v>
      </c>
      <c r="L9" s="86">
        <v>291.118</v>
      </c>
      <c r="M9" s="84">
        <v>17.2604</v>
      </c>
      <c r="N9" s="85">
        <v>0.0072423</v>
      </c>
      <c r="O9" s="86">
        <v>333.899</v>
      </c>
      <c r="P9" s="84">
        <v>17.2532</v>
      </c>
      <c r="Q9" s="85">
        <v>0.00659264</v>
      </c>
      <c r="R9" s="86">
        <v>304.075</v>
      </c>
      <c r="S9" s="30"/>
      <c r="T9" s="30"/>
      <c r="U9" s="30"/>
      <c r="V9" s="84">
        <f>AVERAGE(A10,D10,G10,J10,M10,P10,D51,M51,D92,M92)</f>
      </c>
      <c r="W9" s="85">
        <f>AVERAGE(B10,E10,H10,K10,N10,Q10,E51,N51,E92,N92)</f>
      </c>
      <c r="X9" s="86">
        <f>AVERAGE(C10,F10,I10,L10,O10,R10,F51,O51,F92,O92)</f>
      </c>
    </row>
    <row x14ac:dyDescent="0.25" r="10" customHeight="1" ht="17.25">
      <c r="A10" s="84">
        <v>25.5965</v>
      </c>
      <c r="B10" s="85">
        <v>0.0106333</v>
      </c>
      <c r="C10" s="86">
        <v>330.582</v>
      </c>
      <c r="D10" s="84">
        <v>25.5993</v>
      </c>
      <c r="E10" s="85">
        <v>0.0106189</v>
      </c>
      <c r="F10" s="86">
        <v>330.097</v>
      </c>
      <c r="G10" s="84">
        <v>25.588</v>
      </c>
      <c r="H10" s="85">
        <v>0.0114254</v>
      </c>
      <c r="I10" s="86">
        <v>355.325</v>
      </c>
      <c r="J10" s="84">
        <v>25.6059</v>
      </c>
      <c r="K10" s="85">
        <v>0.0103341</v>
      </c>
      <c r="L10" s="86">
        <v>321.161</v>
      </c>
      <c r="M10" s="84">
        <v>25.6023</v>
      </c>
      <c r="N10" s="85">
        <v>0.0116571</v>
      </c>
      <c r="O10" s="86">
        <v>362.327</v>
      </c>
      <c r="P10" s="84">
        <v>25.5971</v>
      </c>
      <c r="Q10" s="85">
        <v>0.0105765</v>
      </c>
      <c r="R10" s="86">
        <v>328.806</v>
      </c>
      <c r="S10" s="30"/>
      <c r="T10" s="30"/>
      <c r="U10" s="30"/>
      <c r="V10" s="84">
        <f>AVERAGE(A11,D11,G11,J11,M11,P11,D52,M52,D93,M93)</f>
      </c>
      <c r="W10" s="85">
        <f>AVERAGE(B11,E11,H11,K11,N11,Q11,E52,N52,E93,N93)</f>
      </c>
      <c r="X10" s="86">
        <f>AVERAGE(C11,F11,I11,L11,O11,R11,F52,O52,F93,O93)</f>
      </c>
    </row>
    <row x14ac:dyDescent="0.25" r="11" customHeight="1" ht="17.25">
      <c r="A11" s="84">
        <v>33.9951</v>
      </c>
      <c r="B11" s="85">
        <v>0.0153381</v>
      </c>
      <c r="C11" s="86">
        <v>359.043</v>
      </c>
      <c r="D11" s="84">
        <v>33.984</v>
      </c>
      <c r="E11" s="85">
        <v>0.015159</v>
      </c>
      <c r="F11" s="86">
        <v>354.965</v>
      </c>
      <c r="G11" s="84">
        <v>33.9821</v>
      </c>
      <c r="H11" s="85">
        <v>0.0163544</v>
      </c>
      <c r="I11" s="86">
        <v>382.979</v>
      </c>
      <c r="J11" s="84">
        <v>33.9927</v>
      </c>
      <c r="K11" s="85">
        <v>0.0148452</v>
      </c>
      <c r="L11" s="86">
        <v>347.528</v>
      </c>
      <c r="M11" s="84">
        <v>33.9863</v>
      </c>
      <c r="N11" s="85">
        <v>0.0166769</v>
      </c>
      <c r="O11" s="86">
        <v>390.482</v>
      </c>
      <c r="P11" s="84">
        <v>34.0093</v>
      </c>
      <c r="Q11" s="85">
        <v>0.0152428</v>
      </c>
      <c r="R11" s="86">
        <v>356.661</v>
      </c>
      <c r="S11" s="30"/>
      <c r="T11" s="30"/>
      <c r="U11" s="30"/>
      <c r="V11" s="84">
        <f>AVERAGE(A12,D12,G12,J12,M12,P12,D53,M53,D94,M94)</f>
      </c>
      <c r="W11" s="85">
        <f>AVERAGE(B12,E12,H12,K12,N12,Q12,E53,N53,E94,N94)</f>
      </c>
      <c r="X11" s="86">
        <f>AVERAGE(C12,F12,I12,L12,O12,R12,F53,O53,F94,O94)</f>
      </c>
    </row>
    <row x14ac:dyDescent="0.25" r="12" customHeight="1" ht="17.25">
      <c r="A12" s="84">
        <v>39.2443</v>
      </c>
      <c r="B12" s="85">
        <v>0.0184847</v>
      </c>
      <c r="C12" s="86">
        <v>374.823</v>
      </c>
      <c r="D12" s="84">
        <v>39.227</v>
      </c>
      <c r="E12" s="85">
        <v>0.0181822</v>
      </c>
      <c r="F12" s="86">
        <v>368.852</v>
      </c>
      <c r="G12" s="84">
        <v>39.2337</v>
      </c>
      <c r="H12" s="85">
        <v>0.0196595</v>
      </c>
      <c r="I12" s="86">
        <v>398.751</v>
      </c>
      <c r="J12" s="84">
        <v>39.2373</v>
      </c>
      <c r="K12" s="85">
        <v>0.0179249</v>
      </c>
      <c r="L12" s="86">
        <v>363.535</v>
      </c>
      <c r="M12" s="84">
        <v>39.2465</v>
      </c>
      <c r="N12" s="85">
        <v>0.0200868</v>
      </c>
      <c r="O12" s="86">
        <v>407.286</v>
      </c>
      <c r="P12" s="84">
        <v>39.2453</v>
      </c>
      <c r="Q12" s="85">
        <v>0.0183488</v>
      </c>
      <c r="R12" s="86">
        <v>372.057</v>
      </c>
      <c r="S12" s="30"/>
      <c r="T12" s="30"/>
      <c r="U12" s="30"/>
      <c r="V12" s="84">
        <f>AVERAGE(A13,D13,G13,J13,M13,P13,D54,M54,D95,M95)</f>
      </c>
      <c r="W12" s="85">
        <f>AVERAGE(B13,E13,H13,K13,N13,Q13,E54,N54,E95,N95)</f>
      </c>
      <c r="X12" s="86">
        <f>AVERAGE(C13,F13,I13,L13,O13,R13,F54,O54,F95,O95)</f>
      </c>
    </row>
    <row x14ac:dyDescent="0.25" r="13" customHeight="1" ht="17.25">
      <c r="A13" s="84">
        <v>44.4924</v>
      </c>
      <c r="B13" s="85">
        <v>0.0219402</v>
      </c>
      <c r="C13" s="86">
        <v>392.415</v>
      </c>
      <c r="D13" s="84">
        <v>44.4781</v>
      </c>
      <c r="E13" s="85">
        <v>0.0213989</v>
      </c>
      <c r="F13" s="86">
        <v>382.855</v>
      </c>
      <c r="G13" s="84">
        <v>44.477</v>
      </c>
      <c r="H13" s="85">
        <v>0.0232053</v>
      </c>
      <c r="I13" s="86">
        <v>415.186</v>
      </c>
      <c r="J13" s="84">
        <v>44.4791</v>
      </c>
      <c r="K13" s="85">
        <v>0.0211718</v>
      </c>
      <c r="L13" s="86">
        <v>378.784</v>
      </c>
      <c r="M13" s="84">
        <v>44.4797</v>
      </c>
      <c r="N13" s="85">
        <v>0.023611</v>
      </c>
      <c r="O13" s="86">
        <v>422.418</v>
      </c>
      <c r="P13" s="84">
        <v>44.4812</v>
      </c>
      <c r="Q13" s="85">
        <v>0.0216366</v>
      </c>
      <c r="R13" s="86">
        <v>387.082</v>
      </c>
      <c r="S13" s="30"/>
      <c r="T13" s="30"/>
      <c r="U13" s="30"/>
      <c r="V13" s="84">
        <f>AVERAGE(A14,D14,G14,J14,M14,P14,D55,M55,D96,M96)</f>
      </c>
      <c r="W13" s="85">
        <f>AVERAGE(B14,E14,H14,K14,N14,Q14,E55,N55,E96,N96)</f>
      </c>
      <c r="X13" s="86">
        <f>AVERAGE(C14,F14,I14,L14,O14,R14,F55,O55,F96,O96)</f>
      </c>
    </row>
    <row x14ac:dyDescent="0.25" r="14" customHeight="1" ht="17.25">
      <c r="A14" s="84">
        <v>52.3402</v>
      </c>
      <c r="B14" s="85">
        <v>0.0274736</v>
      </c>
      <c r="C14" s="86">
        <v>417.706</v>
      </c>
      <c r="D14" s="84">
        <v>52.3218</v>
      </c>
      <c r="E14" s="85">
        <v>0.0265892</v>
      </c>
      <c r="F14" s="86">
        <v>404.402</v>
      </c>
      <c r="G14" s="84">
        <v>52.3195</v>
      </c>
      <c r="H14" s="85">
        <v>0.0287654</v>
      </c>
      <c r="I14" s="86">
        <v>437.519</v>
      </c>
      <c r="J14" s="84">
        <v>52.3309</v>
      </c>
      <c r="K14" s="85">
        <v>0.026398</v>
      </c>
      <c r="L14" s="86">
        <v>401.424</v>
      </c>
      <c r="M14" s="84">
        <v>52.3312</v>
      </c>
      <c r="N14" s="85">
        <v>0.0294033</v>
      </c>
      <c r="O14" s="86">
        <v>447.122</v>
      </c>
      <c r="P14" s="84">
        <v>52.3353</v>
      </c>
      <c r="Q14" s="85">
        <v>0.0269225</v>
      </c>
      <c r="R14" s="86">
        <v>409.364</v>
      </c>
      <c r="S14" s="30"/>
      <c r="T14" s="30"/>
      <c r="U14" s="30"/>
      <c r="V14" s="84">
        <f>AVERAGE(A15,D15,G15,J15,M15,P15,D56,M56,D97,M97)</f>
      </c>
      <c r="W14" s="85">
        <f>AVERAGE(B15,E15,H15,K15,N15,Q15,E56,N56,E97,N97)</f>
      </c>
      <c r="X14" s="86">
        <f>AVERAGE(C15,F15,I15,L15,O15,R15,F56,O56,F97,O97)</f>
      </c>
    </row>
    <row x14ac:dyDescent="0.25" r="15" customHeight="1" ht="17.25">
      <c r="A15" s="84">
        <v>61.2343</v>
      </c>
      <c r="B15" s="85">
        <v>0.0342616</v>
      </c>
      <c r="C15" s="86">
        <v>445.249</v>
      </c>
      <c r="D15" s="84">
        <v>61.2199</v>
      </c>
      <c r="E15" s="85">
        <v>0.033014</v>
      </c>
      <c r="F15" s="86">
        <v>429.137</v>
      </c>
      <c r="G15" s="84">
        <v>61.2125</v>
      </c>
      <c r="H15" s="85">
        <v>0.0358084</v>
      </c>
      <c r="I15" s="86">
        <v>465.517</v>
      </c>
      <c r="J15" s="84">
        <v>61.2098</v>
      </c>
      <c r="K15" s="85">
        <v>0.0329959</v>
      </c>
      <c r="L15" s="86">
        <v>428.972</v>
      </c>
      <c r="M15" s="84">
        <v>61.2178</v>
      </c>
      <c r="N15" s="85">
        <v>0.036557</v>
      </c>
      <c r="O15" s="86">
        <v>475.207</v>
      </c>
      <c r="P15" s="84">
        <v>61.22</v>
      </c>
      <c r="Q15" s="85">
        <v>0.0335437</v>
      </c>
      <c r="R15" s="86">
        <v>436.021</v>
      </c>
      <c r="S15" s="30"/>
      <c r="T15" s="30"/>
      <c r="U15" s="30"/>
      <c r="V15" s="84">
        <f>AVERAGE(A16,D16,G16,J16,M16,P16,D57,M57,D98,M98)</f>
      </c>
      <c r="W15" s="85">
        <f>AVERAGE(B16,E16,H16,K16,N16,Q16,E57,N57,E98,N98)</f>
      </c>
      <c r="X15" s="86">
        <f>AVERAGE(C16,F16,I16,L16,O16,R16,F57,O57,F98,O98)</f>
      </c>
    </row>
    <row x14ac:dyDescent="0.25" r="16" customHeight="1" ht="17.25">
      <c r="A16" s="84">
        <v>73.3235</v>
      </c>
      <c r="B16" s="85">
        <v>0.0446234</v>
      </c>
      <c r="C16" s="86">
        <v>484.295</v>
      </c>
      <c r="D16" s="84">
        <v>73.3074</v>
      </c>
      <c r="E16" s="85">
        <v>0.0426405</v>
      </c>
      <c r="F16" s="86">
        <v>462.876</v>
      </c>
      <c r="G16" s="84">
        <v>73.2944</v>
      </c>
      <c r="H16" s="85">
        <v>0.046524</v>
      </c>
      <c r="I16" s="86">
        <v>505.121</v>
      </c>
      <c r="J16" s="84">
        <v>73.3069</v>
      </c>
      <c r="K16" s="85">
        <v>0.0428678</v>
      </c>
      <c r="L16" s="86">
        <v>465.347</v>
      </c>
      <c r="M16" s="84">
        <v>73.3119</v>
      </c>
      <c r="N16" s="85">
        <v>0.0474823</v>
      </c>
      <c r="O16" s="86">
        <v>515.404</v>
      </c>
      <c r="P16" s="84">
        <v>73.3173</v>
      </c>
      <c r="Q16" s="85">
        <v>0.0435986</v>
      </c>
      <c r="R16" s="86">
        <v>473.213</v>
      </c>
      <c r="S16" s="30"/>
      <c r="T16" s="30"/>
      <c r="U16" s="30"/>
      <c r="V16" s="84">
        <f>AVERAGE(A17,D17,G17,J17,M17,P17,D58,M58,D99,M99)</f>
      </c>
      <c r="W16" s="85">
        <f>AVERAGE(B17,E17,H17,K17,N17,Q17,E58,N58,E99,N99)</f>
      </c>
      <c r="X16" s="86">
        <f>AVERAGE(C17,F17,I17,L17,O17,R17,F58,O58,F99,O99)</f>
      </c>
    </row>
    <row x14ac:dyDescent="0.25" r="17" customHeight="1" ht="17.25">
      <c r="A17" s="84">
        <v>81.6615</v>
      </c>
      <c r="B17" s="85">
        <v>0.0525422</v>
      </c>
      <c r="C17" s="86">
        <v>512.013</v>
      </c>
      <c r="D17" s="84">
        <v>81.6414</v>
      </c>
      <c r="E17" s="85">
        <v>0.049958</v>
      </c>
      <c r="F17" s="86">
        <v>486.95</v>
      </c>
      <c r="G17" s="84">
        <v>81.6302</v>
      </c>
      <c r="H17" s="85">
        <v>0.0546529</v>
      </c>
      <c r="I17" s="86">
        <v>532.785</v>
      </c>
      <c r="J17" s="84">
        <v>81.6499</v>
      </c>
      <c r="K17" s="85">
        <v>0.0504129</v>
      </c>
      <c r="L17" s="86">
        <v>491.333</v>
      </c>
      <c r="M17" s="84">
        <v>81.6432</v>
      </c>
      <c r="N17" s="85">
        <v>0.055863</v>
      </c>
      <c r="O17" s="86">
        <v>544.495</v>
      </c>
      <c r="P17" s="84">
        <v>81.6615</v>
      </c>
      <c r="Q17" s="85">
        <v>0.0511537</v>
      </c>
      <c r="R17" s="86">
        <v>498.483</v>
      </c>
      <c r="S17" s="30"/>
      <c r="T17" s="30"/>
      <c r="U17" s="30"/>
      <c r="V17" s="84">
        <f>AVERAGE(A18,D18,G18,J18,M18,P18,D59,M59,D100,M100)</f>
      </c>
      <c r="W17" s="85">
        <f>AVERAGE(B18,E18,H18,K18,N18,Q18,E59,N59,E100,N100)</f>
      </c>
      <c r="X17" s="86">
        <f>AVERAGE(C18,F18,I18,L18,O18,R18,F59,O59,F100,O100)</f>
      </c>
    </row>
    <row x14ac:dyDescent="0.25" r="18" customHeight="1" ht="17.25">
      <c r="A18" s="84">
        <v>94.7606</v>
      </c>
      <c r="B18" s="85">
        <v>0.066839</v>
      </c>
      <c r="C18" s="86">
        <v>561.296</v>
      </c>
      <c r="D18" s="84">
        <v>94.7209</v>
      </c>
      <c r="E18" s="85">
        <v>0.0629954</v>
      </c>
      <c r="F18" s="86">
        <v>529.24</v>
      </c>
      <c r="G18" s="84">
        <v>94.7141</v>
      </c>
      <c r="H18" s="85">
        <v>0.0694872</v>
      </c>
      <c r="I18" s="86">
        <v>583.822</v>
      </c>
      <c r="J18" s="84">
        <v>94.7321</v>
      </c>
      <c r="K18" s="85">
        <v>0.0638936</v>
      </c>
      <c r="L18" s="86">
        <v>536.724</v>
      </c>
      <c r="M18" s="84">
        <v>94.7414</v>
      </c>
      <c r="N18" s="85">
        <v>0.0711146</v>
      </c>
      <c r="O18" s="86">
        <v>597.323</v>
      </c>
      <c r="P18" s="84">
        <v>94.7446</v>
      </c>
      <c r="Q18" s="85">
        <v>0.0650525</v>
      </c>
      <c r="R18" s="86">
        <v>546.386</v>
      </c>
      <c r="S18" s="30"/>
      <c r="T18" s="30"/>
      <c r="U18" s="30"/>
      <c r="V18" s="84">
        <f>AVERAGE(A19,D19,G19,J19,M19,P19,D60,M60,D101,M101)</f>
      </c>
      <c r="W18" s="85">
        <f>AVERAGE(B19,E19,H19,K19,N19,Q19,E60,N60,E101,N101)</f>
      </c>
      <c r="X18" s="86">
        <f>AVERAGE(C19,F19,I19,L19,O19,R19,F60,O60,F101,O101)</f>
      </c>
    </row>
    <row x14ac:dyDescent="0.25" r="19" customHeight="1" ht="17.25">
      <c r="A19" s="84">
        <v>112.593</v>
      </c>
      <c r="B19" s="85">
        <v>0.0910901</v>
      </c>
      <c r="C19" s="86">
        <v>643.801</v>
      </c>
      <c r="D19" s="84">
        <v>112.561</v>
      </c>
      <c r="E19" s="85">
        <v>0.0849165</v>
      </c>
      <c r="F19" s="86">
        <v>600.333</v>
      </c>
      <c r="G19" s="84">
        <v>112.537</v>
      </c>
      <c r="H19" s="85">
        <v>0.0951943</v>
      </c>
      <c r="I19" s="86">
        <v>673.143</v>
      </c>
      <c r="J19" s="84">
        <v>112.57</v>
      </c>
      <c r="K19" s="85">
        <v>0.0866679</v>
      </c>
      <c r="L19" s="86">
        <v>612.666</v>
      </c>
      <c r="M19" s="84">
        <v>112.57</v>
      </c>
      <c r="N19" s="85">
        <v>0.0975458</v>
      </c>
      <c r="O19" s="86">
        <v>689.568</v>
      </c>
      <c r="P19" s="84">
        <v>112.575</v>
      </c>
      <c r="Q19" s="85">
        <v>0.0884492</v>
      </c>
      <c r="R19" s="86">
        <v>625.232</v>
      </c>
      <c r="S19" s="30"/>
      <c r="T19" s="30"/>
      <c r="U19" s="30"/>
      <c r="V19" s="84">
        <f>AVERAGE(A20,D20,G20,J20,M20,P20,D61,M61,D102,M102)</f>
      </c>
      <c r="W19" s="85">
        <f>AVERAGE(B20,E20,H20,K20,N20,Q20,E61,N61,E102,N102)</f>
      </c>
      <c r="X19" s="86">
        <f>AVERAGE(C20,F20,I20,L20,O20,R20,F61,O61,F102,O102)</f>
      </c>
    </row>
    <row x14ac:dyDescent="0.25" r="20" customHeight="1" ht="17.25">
      <c r="A20" s="84">
        <v>138.274</v>
      </c>
      <c r="B20" s="85">
        <v>0.13938</v>
      </c>
      <c r="C20" s="86">
        <v>802.14</v>
      </c>
      <c r="D20" s="84">
        <v>138.234</v>
      </c>
      <c r="E20" s="85">
        <v>0.127855</v>
      </c>
      <c r="F20" s="86">
        <v>736.024</v>
      </c>
      <c r="G20" s="84">
        <v>138.21</v>
      </c>
      <c r="H20" s="85">
        <v>0.145595</v>
      </c>
      <c r="I20" s="86">
        <v>838.294</v>
      </c>
      <c r="J20" s="84">
        <v>138.239</v>
      </c>
      <c r="K20" s="85">
        <v>0.131571</v>
      </c>
      <c r="L20" s="86">
        <v>757.393</v>
      </c>
      <c r="M20" s="84">
        <v>138.251</v>
      </c>
      <c r="N20" s="85">
        <v>0.14994</v>
      </c>
      <c r="O20" s="86">
        <v>863.059</v>
      </c>
      <c r="P20" s="84">
        <v>138.258</v>
      </c>
      <c r="Q20" s="85">
        <v>0.134638</v>
      </c>
      <c r="R20" s="86">
        <v>774.937</v>
      </c>
      <c r="S20" s="30"/>
      <c r="T20" s="30"/>
      <c r="U20" s="30"/>
      <c r="V20" s="84">
        <f>AVERAGE(A21,D21,G21,J21,M21,P21,D62,M62,D103,M103)</f>
      </c>
      <c r="W20" s="85">
        <f>AVERAGE(B21,E21,H21,K21,N21,Q21,E62,N62,E103,N103)</f>
      </c>
      <c r="X20" s="86">
        <f>AVERAGE(C21,F21,I21,L21,O21,R21,F62,O62,F103,O103)</f>
      </c>
    </row>
    <row x14ac:dyDescent="0.25" r="21" customHeight="1" ht="17.25">
      <c r="A21" s="84">
        <v>159.748</v>
      </c>
      <c r="B21" s="85">
        <v>0.19383</v>
      </c>
      <c r="C21" s="86">
        <v>965.554</v>
      </c>
      <c r="D21" s="84">
        <v>159.722</v>
      </c>
      <c r="E21" s="85">
        <v>0.176022</v>
      </c>
      <c r="F21" s="86">
        <v>876.99</v>
      </c>
      <c r="G21" s="84">
        <v>159.687</v>
      </c>
      <c r="H21" s="85">
        <v>0.199259</v>
      </c>
      <c r="I21" s="86">
        <v>992.977</v>
      </c>
      <c r="J21" s="84">
        <v>159.722</v>
      </c>
      <c r="K21" s="85">
        <v>0.1824</v>
      </c>
      <c r="L21" s="86">
        <v>908.761</v>
      </c>
      <c r="M21" s="84">
        <v>159.728</v>
      </c>
      <c r="N21" s="85">
        <v>0.205301</v>
      </c>
      <c r="O21" s="86">
        <v>1022.83</v>
      </c>
      <c r="P21" s="84">
        <v>159.729</v>
      </c>
      <c r="Q21" s="85">
        <v>0.18507</v>
      </c>
      <c r="R21" s="86">
        <v>922.02</v>
      </c>
      <c r="S21" s="30"/>
      <c r="T21" s="30"/>
      <c r="U21" s="30"/>
      <c r="V21" s="84">
        <f>AVERAGE(A22,D22,G22,J22,M22,P22,D63,M63,D104,M104)</f>
      </c>
      <c r="W21" s="85">
        <f>AVERAGE(B22,E22,H22,K22,N22,Q22,E63,N63,E104,N104)</f>
      </c>
      <c r="X21" s="86">
        <f>AVERAGE(C22,F22,I22,L22,O22,R22,F63,O63,F104,O104)</f>
      </c>
    </row>
    <row x14ac:dyDescent="0.25" r="22" customHeight="1" ht="17.25">
      <c r="A22" s="84">
        <v>185.934</v>
      </c>
      <c r="B22" s="85">
        <v>0.27179</v>
      </c>
      <c r="C22" s="86">
        <v>1163.23</v>
      </c>
      <c r="D22" s="84">
        <v>185.879</v>
      </c>
      <c r="E22" s="85">
        <v>0.24564</v>
      </c>
      <c r="F22" s="86">
        <v>1051.62</v>
      </c>
      <c r="G22" s="84">
        <v>185.868</v>
      </c>
      <c r="H22" s="85">
        <v>0.270813</v>
      </c>
      <c r="I22" s="86">
        <v>1159.46</v>
      </c>
      <c r="J22" s="84">
        <v>185.895</v>
      </c>
      <c r="K22" s="85">
        <v>0.256333</v>
      </c>
      <c r="L22" s="86">
        <v>1097.3</v>
      </c>
      <c r="M22" s="84">
        <v>185.906</v>
      </c>
      <c r="N22" s="85">
        <v>0.278237</v>
      </c>
      <c r="O22" s="86">
        <v>1191</v>
      </c>
      <c r="P22" s="84">
        <v>185.912</v>
      </c>
      <c r="Q22" s="85">
        <v>0.255051</v>
      </c>
      <c r="R22" s="86">
        <v>1091.72</v>
      </c>
      <c r="S22" s="30"/>
      <c r="T22" s="30"/>
      <c r="U22" s="30"/>
      <c r="V22" s="84">
        <f>AVERAGE(A23,D23,G23,J23,M23,P23,D64,M64,D105,M105)</f>
      </c>
      <c r="W22" s="85">
        <f>AVERAGE(B23,E23,H23,K23,N23,Q23,E64,N64,E105,N105)</f>
      </c>
      <c r="X22" s="86">
        <f>AVERAGE(C23,F23,I23,L23,O23,R23,F64,O64,F105,O105)</f>
      </c>
    </row>
    <row x14ac:dyDescent="0.25" r="23" customHeight="1" ht="17.25">
      <c r="A23" s="84">
        <v>220.015</v>
      </c>
      <c r="B23" s="85">
        <v>0.374797</v>
      </c>
      <c r="C23" s="86">
        <v>1355.61</v>
      </c>
      <c r="D23" s="84">
        <v>219.95</v>
      </c>
      <c r="E23" s="85">
        <v>0.340374</v>
      </c>
      <c r="F23" s="86">
        <v>1231.46</v>
      </c>
      <c r="G23" s="84">
        <v>219.917</v>
      </c>
      <c r="H23" s="85">
        <v>0.361937</v>
      </c>
      <c r="I23" s="86">
        <v>1309.67</v>
      </c>
      <c r="J23" s="84">
        <v>219.967</v>
      </c>
      <c r="K23" s="85">
        <v>0.356396</v>
      </c>
      <c r="L23" s="86">
        <v>1289.34</v>
      </c>
      <c r="M23" s="84">
        <v>219.97</v>
      </c>
      <c r="N23" s="85">
        <v>0.36988</v>
      </c>
      <c r="O23" s="86">
        <v>1338.1</v>
      </c>
      <c r="P23" s="84">
        <v>219.992</v>
      </c>
      <c r="Q23" s="85">
        <v>0.346757</v>
      </c>
      <c r="R23" s="86">
        <v>1254.32</v>
      </c>
      <c r="S23" s="30"/>
      <c r="T23" s="30"/>
      <c r="U23" s="30"/>
      <c r="V23" s="84">
        <f>AVERAGE(A24,D24,G24,J24,M24,P24,D65,M65,D106,M106)</f>
      </c>
      <c r="W23" s="85">
        <f>AVERAGE(B24,E24,H24,K24,N24,Q24,E65,N65,E106,N106)</f>
      </c>
      <c r="X23" s="86">
        <f>AVERAGE(C24,F24,I24,L24,O24,R24,F65,O65,F106,O106)</f>
      </c>
    </row>
    <row x14ac:dyDescent="0.25" r="24" customHeight="1" ht="17.25">
      <c r="A24" s="84">
        <v>258.745</v>
      </c>
      <c r="B24" s="85">
        <v>0.477333</v>
      </c>
      <c r="C24" s="86">
        <v>1468.05</v>
      </c>
      <c r="D24" s="84">
        <v>258.663</v>
      </c>
      <c r="E24" s="85">
        <v>0.436104</v>
      </c>
      <c r="F24" s="86">
        <v>1341.67</v>
      </c>
      <c r="G24" s="84">
        <v>258.63</v>
      </c>
      <c r="H24" s="85">
        <v>0.451901</v>
      </c>
      <c r="I24" s="86">
        <v>1390.45</v>
      </c>
      <c r="J24" s="84">
        <v>258.683</v>
      </c>
      <c r="K24" s="85">
        <v>0.456947</v>
      </c>
      <c r="L24" s="86">
        <v>1405.69</v>
      </c>
      <c r="M24" s="84">
        <v>258.691</v>
      </c>
      <c r="N24" s="85">
        <v>0.460142</v>
      </c>
      <c r="O24" s="86">
        <v>1415.47</v>
      </c>
      <c r="P24" s="84">
        <v>258.696</v>
      </c>
      <c r="Q24" s="85">
        <v>0.438596</v>
      </c>
      <c r="R24" s="86">
        <v>1349.17</v>
      </c>
      <c r="S24" s="30"/>
      <c r="T24" s="30"/>
      <c r="U24" s="30"/>
      <c r="V24" s="84">
        <f>AVERAGE(A25,D25,G25,J25,M25,P25,D66,M66,D107,M107)</f>
      </c>
      <c r="W24" s="85">
        <f>AVERAGE(B25,E25,H25,K25,N25,Q25,E66,N66,E107,N107)</f>
      </c>
      <c r="X24" s="86">
        <f>AVERAGE(C25,F25,I25,L25,O25,R25,F66,O66,F107,O107)</f>
      </c>
    </row>
    <row x14ac:dyDescent="0.25" r="25" customHeight="1" ht="17.25">
      <c r="A25" s="84">
        <v>301.692</v>
      </c>
      <c r="B25" s="85">
        <v>0.573475</v>
      </c>
      <c r="C25" s="86">
        <v>1512.66</v>
      </c>
      <c r="D25" s="84">
        <v>301.605</v>
      </c>
      <c r="E25" s="85">
        <v>0.52701</v>
      </c>
      <c r="F25" s="86">
        <v>1390.5</v>
      </c>
      <c r="G25" s="84">
        <v>301.568</v>
      </c>
      <c r="H25" s="85">
        <v>0.536921</v>
      </c>
      <c r="I25" s="86">
        <v>1416.82</v>
      </c>
      <c r="J25" s="84">
        <v>301.627</v>
      </c>
      <c r="K25" s="85">
        <v>0.55176</v>
      </c>
      <c r="L25" s="86">
        <v>1455.69</v>
      </c>
      <c r="M25" s="84">
        <v>301.649</v>
      </c>
      <c r="N25" s="85">
        <v>0.54518</v>
      </c>
      <c r="O25" s="86">
        <v>1438.23</v>
      </c>
      <c r="P25" s="84">
        <v>301.659</v>
      </c>
      <c r="Q25" s="85">
        <v>0.525765</v>
      </c>
      <c r="R25" s="86">
        <v>1386.96</v>
      </c>
      <c r="S25" s="30"/>
      <c r="T25" s="30"/>
      <c r="U25" s="30"/>
      <c r="V25" s="84">
        <f>AVERAGE(A26,D26,G26,J26,M26,P26,D67,M67,D108,M108)</f>
      </c>
      <c r="W25" s="85">
        <f>AVERAGE(B26,E26,H26,K26,N26,Q26,E67,N67,E108,N108)</f>
      </c>
      <c r="X25" s="86">
        <f>AVERAGE(C26,F26,I26,L26,O26,R26,F67,O67,F108,O108)</f>
      </c>
    </row>
    <row x14ac:dyDescent="0.25" r="26" customHeight="1" ht="17.25">
      <c r="A26" s="84">
        <v>362.492</v>
      </c>
      <c r="B26" s="85">
        <v>0.684849</v>
      </c>
      <c r="C26" s="86">
        <v>1503.44</v>
      </c>
      <c r="D26" s="84">
        <v>362.374</v>
      </c>
      <c r="E26" s="85">
        <v>0.633208</v>
      </c>
      <c r="F26" s="86">
        <v>1390.53</v>
      </c>
      <c r="G26" s="84">
        <v>362.344</v>
      </c>
      <c r="H26" s="85">
        <v>0.636491</v>
      </c>
      <c r="I26" s="86">
        <v>1397.85</v>
      </c>
      <c r="J26" s="84">
        <v>362.405</v>
      </c>
      <c r="K26" s="85">
        <v>0.66197</v>
      </c>
      <c r="L26" s="86">
        <v>1453.56</v>
      </c>
      <c r="M26" s="84">
        <v>362.437</v>
      </c>
      <c r="N26" s="85">
        <v>0.644729</v>
      </c>
      <c r="O26" s="86">
        <v>1415.58</v>
      </c>
      <c r="P26" s="84">
        <v>362.448</v>
      </c>
      <c r="Q26" s="85">
        <v>0.627939</v>
      </c>
      <c r="R26" s="86">
        <v>1378.68</v>
      </c>
      <c r="S26" s="30"/>
      <c r="T26" s="30"/>
      <c r="U26" s="30"/>
      <c r="V26" s="84">
        <f>AVERAGE(A27,D27,G27,J27,M27,P27,D68,M68,D109,M109)</f>
      </c>
      <c r="W26" s="85">
        <f>AVERAGE(B27,E27,H27,K27,N27,Q27,E68,N68,E109,N109)</f>
      </c>
      <c r="X26" s="86">
        <f>AVERAGE(C27,F27,I27,L27,O27,R27,F68,O68,F109,O109)</f>
      </c>
    </row>
    <row x14ac:dyDescent="0.25" r="27" customHeight="1" ht="17.25">
      <c r="A27" s="84">
        <v>431.628</v>
      </c>
      <c r="B27" s="85">
        <v>0.786586</v>
      </c>
      <c r="C27" s="86">
        <v>1450.19</v>
      </c>
      <c r="D27" s="84">
        <v>431.512</v>
      </c>
      <c r="E27" s="85">
        <v>0.730953</v>
      </c>
      <c r="F27" s="86">
        <v>1347.99</v>
      </c>
      <c r="G27" s="84">
        <v>431.458</v>
      </c>
      <c r="H27" s="85">
        <v>0.729029</v>
      </c>
      <c r="I27" s="86">
        <v>1344.61</v>
      </c>
      <c r="J27" s="84">
        <v>431.536</v>
      </c>
      <c r="K27" s="85">
        <v>0.76292</v>
      </c>
      <c r="L27" s="86">
        <v>1406.86</v>
      </c>
      <c r="M27" s="84">
        <v>431.559</v>
      </c>
      <c r="N27" s="85">
        <v>0.73709</v>
      </c>
      <c r="O27" s="86">
        <v>1359.16</v>
      </c>
      <c r="P27" s="84">
        <v>431.595</v>
      </c>
      <c r="Q27" s="85">
        <v>0.722731</v>
      </c>
      <c r="R27" s="86">
        <v>1332.57</v>
      </c>
      <c r="S27" s="30"/>
      <c r="T27" s="30"/>
      <c r="U27" s="30"/>
      <c r="V27" s="84">
        <f>AVERAGE(A28,D28,G28,J28,M28,P28,D69,M69,D110,M110)</f>
      </c>
      <c r="W27" s="85">
        <f>AVERAGE(B28,E28,H28,K28,N28,Q28,E69,N69,E110,N110)</f>
      </c>
      <c r="X27" s="86">
        <f>AVERAGE(C28,F28,I28,L28,O28,R28,F69,O69,F110,O110)</f>
      </c>
    </row>
    <row x14ac:dyDescent="0.25" r="28" customHeight="1" ht="17.25">
      <c r="A28" s="84">
        <v>517.509</v>
      </c>
      <c r="B28" s="85">
        <v>0.888966</v>
      </c>
      <c r="C28" s="86">
        <v>1366.97</v>
      </c>
      <c r="D28" s="84">
        <v>517.385</v>
      </c>
      <c r="E28" s="85">
        <v>0.829988</v>
      </c>
      <c r="F28" s="86">
        <v>1276.58</v>
      </c>
      <c r="G28" s="84">
        <v>517.31</v>
      </c>
      <c r="H28" s="85">
        <v>0.823732</v>
      </c>
      <c r="I28" s="86">
        <v>1267.14</v>
      </c>
      <c r="J28" s="84">
        <v>517.41</v>
      </c>
      <c r="K28" s="85">
        <v>0.864599</v>
      </c>
      <c r="L28" s="86">
        <v>1329.75</v>
      </c>
      <c r="M28" s="84">
        <v>517.42</v>
      </c>
      <c r="N28" s="85">
        <v>0.831462</v>
      </c>
      <c r="O28" s="86">
        <v>1278.76</v>
      </c>
      <c r="P28" s="84">
        <v>517.472</v>
      </c>
      <c r="Q28" s="85">
        <v>0.819578</v>
      </c>
      <c r="R28" s="86">
        <v>1260.36</v>
      </c>
      <c r="S28" s="30"/>
      <c r="T28" s="30"/>
      <c r="U28" s="30"/>
      <c r="V28" s="84">
        <f>AVERAGE(A29,D29,G29,J29,M29,P29,D70,M70,D111,M111)</f>
      </c>
      <c r="W28" s="85">
        <f>AVERAGE(B29,E29,H29,K29,N29,Q29,E70,N70,E111,N111)</f>
      </c>
      <c r="X28" s="86">
        <f>AVERAGE(C29,F29,I29,L29,O29,R29,F70,O70,F111,O111)</f>
      </c>
    </row>
    <row x14ac:dyDescent="0.25" r="29" customHeight="1" ht="17.25">
      <c r="A29" s="84">
        <v>607.638</v>
      </c>
      <c r="B29" s="85">
        <v>0.976975</v>
      </c>
      <c r="C29" s="86">
        <v>1279.47</v>
      </c>
      <c r="D29" s="84">
        <v>607.486</v>
      </c>
      <c r="E29" s="85">
        <v>0.915804</v>
      </c>
      <c r="F29" s="86">
        <v>1199.65</v>
      </c>
      <c r="G29" s="84">
        <v>607.405</v>
      </c>
      <c r="H29" s="85">
        <v>0.9066</v>
      </c>
      <c r="I29" s="86">
        <v>1187.76</v>
      </c>
      <c r="J29" s="84">
        <v>607.503</v>
      </c>
      <c r="K29" s="85">
        <v>0.952236</v>
      </c>
      <c r="L29" s="86">
        <v>1247.34</v>
      </c>
      <c r="M29" s="84">
        <v>607.523</v>
      </c>
      <c r="N29" s="85">
        <v>0.91406</v>
      </c>
      <c r="O29" s="86">
        <v>1197.3</v>
      </c>
      <c r="P29" s="84">
        <v>607.557</v>
      </c>
      <c r="Q29" s="85">
        <v>0.904145</v>
      </c>
      <c r="R29" s="86">
        <v>1184.24</v>
      </c>
      <c r="S29" s="30"/>
      <c r="T29" s="30"/>
      <c r="U29" s="30"/>
      <c r="V29" s="84">
        <f>AVERAGE(A30,D30,G30,J30,M30,P30,D71,M71,D112,M112)</f>
      </c>
      <c r="W29" s="85">
        <f>AVERAGE(B30,E30,H30,K30,N30,Q30,E71,N71,E112,N112)</f>
      </c>
      <c r="X29" s="86">
        <f>AVERAGE(C30,F30,I30,L30,O30,R30,F71,O71,F112,O112)</f>
      </c>
    </row>
    <row x14ac:dyDescent="0.25" r="30" customHeight="1" ht="17.25">
      <c r="A30" s="84">
        <v>686.213</v>
      </c>
      <c r="B30" s="85">
        <v>1.04177</v>
      </c>
      <c r="C30" s="86">
        <v>1208.1</v>
      </c>
      <c r="D30" s="84">
        <v>686.064</v>
      </c>
      <c r="E30" s="85">
        <v>0.97969</v>
      </c>
      <c r="F30" s="86">
        <v>1136.36</v>
      </c>
      <c r="G30" s="84">
        <v>685.944</v>
      </c>
      <c r="H30" s="85">
        <v>0.969008</v>
      </c>
      <c r="I30" s="86">
        <v>1124.16</v>
      </c>
      <c r="J30" s="84">
        <v>686.072</v>
      </c>
      <c r="K30" s="85">
        <v>1.01694</v>
      </c>
      <c r="L30" s="86">
        <v>1179.55</v>
      </c>
      <c r="M30" s="84">
        <v>686.09</v>
      </c>
      <c r="N30" s="85">
        <v>0.976107</v>
      </c>
      <c r="O30" s="86">
        <v>1132.16</v>
      </c>
      <c r="P30" s="84">
        <v>686.138</v>
      </c>
      <c r="Q30" s="85">
        <v>0.967766</v>
      </c>
      <c r="R30" s="86">
        <v>1122.4</v>
      </c>
      <c r="S30" s="30"/>
      <c r="T30" s="30"/>
      <c r="U30" s="30"/>
      <c r="V30" s="84">
        <f>AVERAGE(A31,D31,G31,J31,M31,P31,D72,M72,D113,M113)</f>
      </c>
      <c r="W30" s="85">
        <f>AVERAGE(B31,E31,H31,K31,N31,Q31,E72,N72,E113,N113)</f>
      </c>
      <c r="X30" s="86">
        <f>AVERAGE(C31,F31,I31,L31,O31,R31,F72,O72,F113,O113)</f>
      </c>
    </row>
    <row x14ac:dyDescent="0.25" r="31" customHeight="1" ht="17.25">
      <c r="A31" s="84">
        <v>817.159</v>
      </c>
      <c r="B31" s="85">
        <v>1.13192</v>
      </c>
      <c r="C31" s="86">
        <v>1102.3</v>
      </c>
      <c r="D31" s="84">
        <v>816.986</v>
      </c>
      <c r="E31" s="85">
        <v>1.06983</v>
      </c>
      <c r="F31" s="86">
        <v>1042.05</v>
      </c>
      <c r="G31" s="84">
        <v>816.843</v>
      </c>
      <c r="H31" s="85">
        <v>1.058</v>
      </c>
      <c r="I31" s="86">
        <v>1030.71</v>
      </c>
      <c r="J31" s="84">
        <v>816.99</v>
      </c>
      <c r="K31" s="85">
        <v>1.10742</v>
      </c>
      <c r="L31" s="86">
        <v>1078.66</v>
      </c>
      <c r="M31" s="84">
        <v>817.003</v>
      </c>
      <c r="N31" s="85">
        <v>1.06448</v>
      </c>
      <c r="O31" s="86">
        <v>1036.82</v>
      </c>
      <c r="P31" s="84">
        <v>817.072</v>
      </c>
      <c r="Q31" s="85">
        <v>1.05815</v>
      </c>
      <c r="R31" s="86">
        <v>1030.57</v>
      </c>
      <c r="S31" s="30"/>
      <c r="T31" s="30"/>
      <c r="U31" s="30"/>
      <c r="V31" s="84">
        <f>AVERAGE(A32,D32,G32,J32,M32,P32,D73,M73,D114,M114)</f>
      </c>
      <c r="W31" s="85">
        <f>AVERAGE(B32,E32,H32,K32,N32,Q32,E73,N73,E114,N114)</f>
      </c>
      <c r="X31" s="86">
        <f>AVERAGE(C32,F32,I32,L32,O32,R32,F73,O73,F114,O114)</f>
      </c>
    </row>
    <row x14ac:dyDescent="0.25" r="32" customHeight="1" ht="17.25">
      <c r="A32" s="84">
        <v>974.321</v>
      </c>
      <c r="B32" s="85">
        <v>1.21788</v>
      </c>
      <c r="C32" s="86">
        <v>994.705</v>
      </c>
      <c r="D32" s="84">
        <v>974.113</v>
      </c>
      <c r="E32" s="85">
        <v>1.15775</v>
      </c>
      <c r="F32" s="86">
        <v>945.791</v>
      </c>
      <c r="G32" s="84">
        <v>973.956</v>
      </c>
      <c r="H32" s="85">
        <v>1.14598</v>
      </c>
      <c r="I32" s="86">
        <v>936.324</v>
      </c>
      <c r="J32" s="84">
        <v>974.118</v>
      </c>
      <c r="K32" s="85">
        <v>1.19425</v>
      </c>
      <c r="L32" s="86">
        <v>975.604</v>
      </c>
      <c r="M32" s="84">
        <v>974.166</v>
      </c>
      <c r="N32" s="85">
        <v>1.15177</v>
      </c>
      <c r="O32" s="86">
        <v>940.857</v>
      </c>
      <c r="P32" s="84">
        <v>974.199</v>
      </c>
      <c r="Q32" s="85">
        <v>1.14707</v>
      </c>
      <c r="R32" s="86">
        <v>936.983</v>
      </c>
      <c r="S32" s="30"/>
      <c r="T32" s="30"/>
      <c r="U32" s="30"/>
      <c r="V32" s="84">
        <f>AVERAGE(A33,D33,G33,J33,M33,P33,D74,M74,D115,M115)</f>
      </c>
      <c r="W32" s="85">
        <f>AVERAGE(B33,E33,H33,K33,N33,Q33,E74,N74,E115,N115)</f>
      </c>
      <c r="X32" s="86">
        <f>AVERAGE(C33,F33,I33,L33,O33,R33,F74,O74,F115,O115)</f>
      </c>
    </row>
    <row x14ac:dyDescent="0.25" r="33" customHeight="1" ht="17.25">
      <c r="A33" s="84">
        <v>1031.93</v>
      </c>
      <c r="B33" s="85">
        <v>1.24461</v>
      </c>
      <c r="C33" s="86">
        <v>959.784</v>
      </c>
      <c r="D33" s="84">
        <v>1031.68</v>
      </c>
      <c r="E33" s="85">
        <v>1.18545</v>
      </c>
      <c r="F33" s="86">
        <v>914.387</v>
      </c>
      <c r="G33" s="84">
        <v>1031.54</v>
      </c>
      <c r="H33" s="85">
        <v>1.17405</v>
      </c>
      <c r="I33" s="86">
        <v>905.716</v>
      </c>
      <c r="J33" s="84">
        <v>1031.72</v>
      </c>
      <c r="K33" s="85">
        <v>1.22137</v>
      </c>
      <c r="L33" s="86">
        <v>942.051</v>
      </c>
      <c r="M33" s="84">
        <v>1031.74</v>
      </c>
      <c r="N33" s="85">
        <v>1.17968</v>
      </c>
      <c r="O33" s="86">
        <v>909.884</v>
      </c>
      <c r="P33" s="84">
        <v>1031.8</v>
      </c>
      <c r="Q33" s="85">
        <v>1.17536</v>
      </c>
      <c r="R33" s="86">
        <v>906.495</v>
      </c>
      <c r="S33" s="30"/>
      <c r="T33" s="30"/>
      <c r="U33" s="30"/>
      <c r="V33" s="84">
        <f>AVERAGE(A34,D34,G34,J34,M34,P34,D75,M75,D116,M116)</f>
      </c>
      <c r="W33" s="85">
        <f>AVERAGE(B34,E34,H34,K34,N34,Q34,E75,N75,E116,N116)</f>
      </c>
      <c r="X33" s="86">
        <f>AVERAGE(C34,F34,I34,L34,O34,R34,F75,O75,F116,O116)</f>
      </c>
    </row>
    <row x14ac:dyDescent="0.25" r="34" customHeight="1" ht="17.25">
      <c r="A34" s="84">
        <v>1650.09</v>
      </c>
      <c r="B34" s="85">
        <v>1.43206</v>
      </c>
      <c r="C34" s="86">
        <v>690.626</v>
      </c>
      <c r="D34" s="84">
        <v>1649.73</v>
      </c>
      <c r="E34" s="85">
        <v>1.38746</v>
      </c>
      <c r="F34" s="86">
        <v>669.264</v>
      </c>
      <c r="G34" s="84">
        <v>1649.49</v>
      </c>
      <c r="H34" s="85">
        <v>1.38255</v>
      </c>
      <c r="I34" s="86">
        <v>666.994</v>
      </c>
      <c r="J34" s="84">
        <v>1649.76</v>
      </c>
      <c r="K34" s="85">
        <v>1.41417</v>
      </c>
      <c r="L34" s="86">
        <v>682.135</v>
      </c>
      <c r="M34" s="84">
        <v>1649.82</v>
      </c>
      <c r="N34" s="85">
        <v>1.38649</v>
      </c>
      <c r="O34" s="86">
        <v>668.758</v>
      </c>
      <c r="P34" s="84">
        <v>1649.95</v>
      </c>
      <c r="Q34" s="85">
        <v>1.38324</v>
      </c>
      <c r="R34" s="86">
        <v>667.137</v>
      </c>
      <c r="S34" s="30"/>
      <c r="T34" s="30"/>
      <c r="U34" s="30"/>
      <c r="V34" s="84">
        <f>AVERAGE(A35,D35,G35,J35,M35,P35,D76,M76,D117,M117)</f>
      </c>
      <c r="W34" s="85">
        <f>AVERAGE(B35,E35,H35,K35,N35,Q35,E76,N76,E117,N117)</f>
      </c>
      <c r="X34" s="86">
        <f>AVERAGE(C35,F35,I35,L35,O35,R35,F76,O76,F117,O117)</f>
      </c>
    </row>
    <row x14ac:dyDescent="0.25" r="35" customHeight="1" ht="18">
      <c r="A35" s="84">
        <v>2886.33</v>
      </c>
      <c r="B35" s="85">
        <v>1.583</v>
      </c>
      <c r="C35" s="86">
        <v>436.441</v>
      </c>
      <c r="D35" s="84">
        <v>2885.65</v>
      </c>
      <c r="E35" s="85">
        <v>1.55445</v>
      </c>
      <c r="F35" s="86">
        <v>428.67</v>
      </c>
      <c r="G35" s="84">
        <v>2885.31</v>
      </c>
      <c r="H35" s="85">
        <v>1.55763</v>
      </c>
      <c r="I35" s="86">
        <v>429.597</v>
      </c>
      <c r="J35" s="84">
        <v>2885.81</v>
      </c>
      <c r="K35" s="85">
        <v>1.57058</v>
      </c>
      <c r="L35" s="86">
        <v>433.096</v>
      </c>
      <c r="M35" s="84">
        <v>2885.94</v>
      </c>
      <c r="N35" s="85">
        <v>1.56126</v>
      </c>
      <c r="O35" s="86">
        <v>430.506</v>
      </c>
      <c r="P35" s="84">
        <v>2886.04</v>
      </c>
      <c r="Q35" s="85">
        <v>1.55626</v>
      </c>
      <c r="R35" s="86">
        <v>429.113</v>
      </c>
      <c r="S35" s="30"/>
      <c r="T35" s="30"/>
      <c r="U35" s="30"/>
      <c r="V35" s="84">
        <f>AVERAGE(A36,D36,G36,J36,M36,P36,D77,M77,D118,M118)</f>
      </c>
      <c r="W35" s="85">
        <f>AVERAGE(B36,E36,H36,K36,N36,Q36,E77,N77,E118,N118)</f>
      </c>
      <c r="X35" s="86">
        <f>AVERAGE(C36,F36,I36,L36,O36,R36,F77,O77,F118,O118)</f>
      </c>
    </row>
    <row x14ac:dyDescent="0.25" r="36" customHeight="1" ht="18">
      <c r="A36" s="84">
        <v>3499.24</v>
      </c>
      <c r="B36" s="85">
        <v>1.62364</v>
      </c>
      <c r="C36" s="86">
        <v>369.237</v>
      </c>
      <c r="D36" s="84">
        <v>3498.41</v>
      </c>
      <c r="E36" s="85">
        <v>1.59775</v>
      </c>
      <c r="F36" s="86">
        <v>363.436</v>
      </c>
      <c r="G36" s="84">
        <v>3497.95</v>
      </c>
      <c r="H36" s="85">
        <v>1.60259</v>
      </c>
      <c r="I36" s="86">
        <v>364.586</v>
      </c>
      <c r="J36" s="84">
        <v>3498.54</v>
      </c>
      <c r="K36" s="85">
        <v>1.61221</v>
      </c>
      <c r="L36" s="86">
        <v>366.712</v>
      </c>
      <c r="M36" s="84">
        <v>3498.73</v>
      </c>
      <c r="N36" s="85">
        <v>1.6065</v>
      </c>
      <c r="O36" s="86">
        <v>365.394</v>
      </c>
      <c r="P36" s="84">
        <v>3498.85</v>
      </c>
      <c r="Q36" s="85">
        <v>1.60124</v>
      </c>
      <c r="R36" s="86">
        <v>364.185</v>
      </c>
      <c r="S36" s="30"/>
      <c r="T36" s="30"/>
      <c r="U36" s="30"/>
      <c r="V36" s="84">
        <f>AVERAGE(A37,D37,G37,J37,M37,P37,D78,M78,D119,M119)</f>
      </c>
      <c r="W36" s="85">
        <f>AVERAGE(B37,E37,H37,K37,N37,Q37,E78,N78,E119,N119)</f>
      </c>
      <c r="X36" s="86">
        <f>AVERAGE(C37,F37,I37,L37,O37,R37,F78,O78,F119,O119)</f>
      </c>
    </row>
    <row x14ac:dyDescent="0.25" r="37" customHeight="1" ht="18">
      <c r="A37" s="84">
        <v>5951.1</v>
      </c>
      <c r="B37" s="85">
        <v>1.72522</v>
      </c>
      <c r="C37" s="86">
        <v>230.694</v>
      </c>
      <c r="D37" s="84">
        <v>5949.6</v>
      </c>
      <c r="E37" s="85">
        <v>1.70244</v>
      </c>
      <c r="F37" s="86">
        <v>227.706</v>
      </c>
      <c r="G37" s="84">
        <v>5948.77</v>
      </c>
      <c r="H37" s="85">
        <v>1.70973</v>
      </c>
      <c r="I37" s="86">
        <v>228.713</v>
      </c>
      <c r="J37" s="84">
        <v>5949.86</v>
      </c>
      <c r="K37" s="85">
        <v>1.71469</v>
      </c>
      <c r="L37" s="86">
        <v>229.334</v>
      </c>
      <c r="M37" s="84">
        <v>5950.06</v>
      </c>
      <c r="N37" s="85">
        <v>1.71385</v>
      </c>
      <c r="O37" s="86">
        <v>229.214</v>
      </c>
      <c r="P37" s="84">
        <v>5950.41</v>
      </c>
      <c r="Q37" s="85">
        <v>1.70872</v>
      </c>
      <c r="R37" s="86">
        <v>228.515</v>
      </c>
      <c r="S37" s="30"/>
      <c r="T37" s="30"/>
      <c r="U37" s="30"/>
      <c r="V37" s="84">
        <f>AVERAGE(A38,D38,G38,J38,M38,P38,D79,M79,D120,M120)</f>
      </c>
      <c r="W37" s="85">
        <f>AVERAGE(B38,E38,H38,K38,N38,Q38,E79,N79,E120,N120)</f>
      </c>
      <c r="X37" s="86">
        <f>AVERAGE(C38,F38,I38,L38,O38,R38,F79,O79,F120,O120)</f>
      </c>
    </row>
    <row x14ac:dyDescent="0.25" r="38" customHeight="1" ht="18">
      <c r="A38" s="84">
        <v>8418.48</v>
      </c>
      <c r="B38" s="85">
        <v>1.79185</v>
      </c>
      <c r="C38" s="86">
        <v>169.378</v>
      </c>
      <c r="D38" s="84">
        <v>8416.44</v>
      </c>
      <c r="E38" s="85">
        <v>1.76948</v>
      </c>
      <c r="F38" s="86">
        <v>167.304</v>
      </c>
      <c r="G38" s="84">
        <v>8415.38</v>
      </c>
      <c r="H38" s="85">
        <v>1.77779</v>
      </c>
      <c r="I38" s="86">
        <v>168.112</v>
      </c>
      <c r="J38" s="84">
        <v>8416.94</v>
      </c>
      <c r="K38" s="85">
        <v>1.78122</v>
      </c>
      <c r="L38" s="86">
        <v>168.404</v>
      </c>
      <c r="M38" s="84">
        <v>8417.02</v>
      </c>
      <c r="N38" s="85">
        <v>1.78176</v>
      </c>
      <c r="O38" s="86">
        <v>168.454</v>
      </c>
      <c r="P38" s="84">
        <v>8417.88</v>
      </c>
      <c r="Q38" s="85">
        <v>1.77657</v>
      </c>
      <c r="R38" s="86">
        <v>167.946</v>
      </c>
      <c r="S38" s="30"/>
      <c r="T38" s="30"/>
      <c r="U38" s="30"/>
      <c r="V38" s="84">
        <f>AVERAGE(A39,D39,G39,J39,M39,P39,D80,M80,D121,M121)</f>
      </c>
      <c r="W38" s="85">
        <f>AVERAGE(B39,E39,H39,K39,N39,Q39,E80,N80,E121,N121)</f>
      </c>
      <c r="X38" s="86">
        <f>AVERAGE(C39,F39,I39,L39,O39,R39,F80,O80,F121,O121)</f>
      </c>
    </row>
    <row x14ac:dyDescent="0.25" r="39" customHeight="1" ht="18">
      <c r="A39" s="84">
        <v>10875.7</v>
      </c>
      <c r="B39" s="85">
        <v>1.84405</v>
      </c>
      <c r="C39" s="86">
        <v>134.929</v>
      </c>
      <c r="D39" s="84">
        <v>10872.9</v>
      </c>
      <c r="E39" s="85">
        <v>1.82145</v>
      </c>
      <c r="F39" s="86">
        <v>133.31</v>
      </c>
      <c r="G39" s="84">
        <v>10871.7</v>
      </c>
      <c r="H39" s="85">
        <v>1.83008</v>
      </c>
      <c r="I39" s="86">
        <v>133.956</v>
      </c>
      <c r="J39" s="84">
        <v>10873.7</v>
      </c>
      <c r="K39" s="85">
        <v>1.83335</v>
      </c>
      <c r="L39" s="86">
        <v>134.171</v>
      </c>
      <c r="M39" s="84">
        <v>10873.9</v>
      </c>
      <c r="N39" s="85">
        <v>1.83402</v>
      </c>
      <c r="O39" s="86">
        <v>134.218</v>
      </c>
      <c r="P39" s="84">
        <v>10874.5</v>
      </c>
      <c r="Q39" s="85">
        <v>1.82908</v>
      </c>
      <c r="R39" s="86">
        <v>133.848</v>
      </c>
      <c r="S39" s="30"/>
      <c r="T39" s="30"/>
      <c r="U39" s="30"/>
      <c r="V39" s="84">
        <f>AVERAGE(A40,D40,G40,J40,M40,P40,D81,M81,D122,M122)</f>
      </c>
      <c r="W39" s="85">
        <f>AVERAGE(B40,E40,H40,K40,N40,Q40,E81,N81,E122,N122)</f>
      </c>
      <c r="X39" s="86">
        <f>AVERAGE(C40,F40,I40,L40,O40,R40,F81,O81,F122,O122)</f>
      </c>
    </row>
    <row x14ac:dyDescent="0.25" r="40" customHeight="1" ht="18">
      <c r="A40" s="84">
        <v>15794.9</v>
      </c>
      <c r="B40" s="85">
        <v>1.92613</v>
      </c>
      <c r="C40" s="86">
        <v>97.042</v>
      </c>
      <c r="D40" s="84">
        <v>15791.2</v>
      </c>
      <c r="E40" s="85">
        <v>1.90292</v>
      </c>
      <c r="F40" s="86">
        <v>95.895</v>
      </c>
      <c r="G40" s="84">
        <v>15788.8</v>
      </c>
      <c r="H40" s="85">
        <v>1.91277</v>
      </c>
      <c r="I40" s="86">
        <v>96.4055</v>
      </c>
      <c r="J40" s="84">
        <v>15792.2</v>
      </c>
      <c r="K40" s="85">
        <v>1.91516</v>
      </c>
      <c r="L40" s="86">
        <v>96.5058</v>
      </c>
      <c r="M40" s="84">
        <v>15792</v>
      </c>
      <c r="N40" s="85">
        <v>1.91664</v>
      </c>
      <c r="O40" s="86">
        <v>96.5815</v>
      </c>
      <c r="P40" s="84">
        <v>15793.1</v>
      </c>
      <c r="Q40" s="85">
        <v>1.91095</v>
      </c>
      <c r="R40" s="86">
        <v>96.2877</v>
      </c>
      <c r="S40" s="30"/>
      <c r="T40" s="30"/>
      <c r="U40" s="30"/>
      <c r="V40" s="87">
        <f>AVERAGE(A41,D41,G41,J41,M41,P41,D82,M82,D123,M123)</f>
      </c>
      <c r="W40" s="88">
        <f>AVERAGE(B41,E41,H41,K41,N41,Q41,E82,N82,E123,N123)</f>
      </c>
      <c r="X40" s="89">
        <f>AVERAGE(C41,F41,I41,L41,O41,R41,F82,O82,F123,O123)</f>
      </c>
    </row>
    <row x14ac:dyDescent="0.25" r="41" customHeight="1" ht="18">
      <c r="A41" s="87">
        <v>20714.1</v>
      </c>
      <c r="B41" s="88">
        <v>1.98925</v>
      </c>
      <c r="C41" s="89">
        <v>76.4212</v>
      </c>
      <c r="D41" s="87">
        <v>20709.5</v>
      </c>
      <c r="E41" s="88">
        <v>1.96615</v>
      </c>
      <c r="F41" s="89">
        <v>75.5503</v>
      </c>
      <c r="G41" s="87">
        <v>20706</v>
      </c>
      <c r="H41" s="88">
        <v>1.97649</v>
      </c>
      <c r="I41" s="89">
        <v>75.9607</v>
      </c>
      <c r="J41" s="87">
        <v>20710.5</v>
      </c>
      <c r="K41" s="88">
        <v>1.97859</v>
      </c>
      <c r="L41" s="89">
        <v>76.025</v>
      </c>
      <c r="M41" s="87">
        <v>20710.4</v>
      </c>
      <c r="N41" s="88">
        <v>1.97953</v>
      </c>
      <c r="O41" s="89">
        <v>76.0612</v>
      </c>
      <c r="P41" s="87">
        <v>20711.4</v>
      </c>
      <c r="Q41" s="88">
        <v>1.97456</v>
      </c>
      <c r="R41" s="89">
        <v>75.8667</v>
      </c>
      <c r="S41" s="30"/>
      <c r="T41" s="30"/>
      <c r="U41" s="30"/>
      <c r="V41" s="33"/>
      <c r="W41" s="32"/>
      <c r="X41" s="77"/>
    </row>
    <row x14ac:dyDescent="0.25" r="42" customHeight="1" ht="18">
      <c r="A42" s="33"/>
      <c r="B42" s="32"/>
      <c r="C42" s="77"/>
      <c r="D42" s="90"/>
      <c r="E42" s="32"/>
      <c r="F42" s="77"/>
      <c r="G42" s="33"/>
      <c r="H42" s="32"/>
      <c r="I42" s="77"/>
      <c r="J42" s="33"/>
      <c r="K42" s="32"/>
      <c r="L42" s="77"/>
      <c r="M42" s="33"/>
      <c r="N42" s="32"/>
      <c r="O42" s="77"/>
      <c r="P42" s="33"/>
      <c r="Q42" s="32"/>
      <c r="R42" s="77"/>
      <c r="S42" s="30"/>
      <c r="T42" s="30"/>
      <c r="U42" s="30"/>
      <c r="V42" s="33"/>
      <c r="W42" s="32"/>
      <c r="X42" s="77"/>
    </row>
    <row x14ac:dyDescent="0.25" r="43" customHeight="1" ht="18">
      <c r="A43" s="1" t="s">
        <v>12</v>
      </c>
      <c r="B43" s="35"/>
      <c r="C43" s="75"/>
      <c r="D43" s="36"/>
      <c r="E43" s="35"/>
      <c r="F43" s="75"/>
      <c r="G43" s="36"/>
      <c r="H43" s="35"/>
      <c r="I43" s="75"/>
      <c r="J43" s="36"/>
      <c r="K43" s="35"/>
      <c r="L43" s="75"/>
      <c r="M43" s="36"/>
      <c r="N43" s="35"/>
      <c r="O43" s="75"/>
      <c r="P43" s="36"/>
      <c r="Q43" s="35"/>
      <c r="R43" s="76"/>
      <c r="S43" s="30"/>
      <c r="T43" s="30"/>
      <c r="U43" s="30"/>
      <c r="V43" s="33"/>
      <c r="W43" s="32"/>
      <c r="X43" s="77"/>
    </row>
    <row x14ac:dyDescent="0.25" r="44" customHeight="1" ht="18">
      <c r="A44" s="1" t="s">
        <v>14</v>
      </c>
      <c r="B44" s="35"/>
      <c r="C44" s="75"/>
      <c r="D44" s="36"/>
      <c r="E44" s="35"/>
      <c r="F44" s="75"/>
      <c r="G44" s="36"/>
      <c r="H44" s="35"/>
      <c r="I44" s="76"/>
      <c r="J44" s="1" t="s">
        <v>15</v>
      </c>
      <c r="K44" s="35"/>
      <c r="L44" s="75"/>
      <c r="M44" s="36"/>
      <c r="N44" s="35"/>
      <c r="O44" s="75"/>
      <c r="P44" s="36"/>
      <c r="Q44" s="35"/>
      <c r="R44" s="76"/>
      <c r="S44" s="30"/>
      <c r="T44" s="30"/>
      <c r="U44" s="30"/>
      <c r="V44" s="33"/>
      <c r="W44" s="32"/>
      <c r="X44" s="77"/>
    </row>
    <row x14ac:dyDescent="0.25" r="45" customHeight="1" ht="18">
      <c r="A45" s="6" t="s">
        <v>65</v>
      </c>
      <c r="B45" s="78"/>
      <c r="C45" s="79"/>
      <c r="D45" s="1" t="s">
        <v>66</v>
      </c>
      <c r="E45" s="35"/>
      <c r="F45" s="76"/>
      <c r="G45" s="6" t="s">
        <v>67</v>
      </c>
      <c r="H45" s="78"/>
      <c r="I45" s="79"/>
      <c r="J45" s="6" t="s">
        <v>68</v>
      </c>
      <c r="K45" s="78"/>
      <c r="L45" s="79"/>
      <c r="M45" s="6" t="s">
        <v>69</v>
      </c>
      <c r="N45" s="78"/>
      <c r="O45" s="79"/>
      <c r="P45" s="6" t="s">
        <v>70</v>
      </c>
      <c r="Q45" s="78"/>
      <c r="R45" s="79"/>
      <c r="S45" s="30"/>
      <c r="T45" s="30"/>
      <c r="U45" s="30"/>
      <c r="V45" s="33"/>
      <c r="W45" s="32"/>
      <c r="X45" s="77"/>
    </row>
    <row x14ac:dyDescent="0.25" r="46" customHeight="1" ht="18">
      <c r="A46" s="1" t="s">
        <v>5</v>
      </c>
      <c r="B46" s="35" t="s">
        <v>34</v>
      </c>
      <c r="C46" s="76" t="s">
        <v>64</v>
      </c>
      <c r="D46" s="1" t="s">
        <v>5</v>
      </c>
      <c r="E46" s="35" t="s">
        <v>34</v>
      </c>
      <c r="F46" s="76" t="s">
        <v>64</v>
      </c>
      <c r="G46" s="1" t="s">
        <v>5</v>
      </c>
      <c r="H46" s="35" t="s">
        <v>34</v>
      </c>
      <c r="I46" s="76" t="s">
        <v>64</v>
      </c>
      <c r="J46" s="1" t="s">
        <v>5</v>
      </c>
      <c r="K46" s="35" t="s">
        <v>34</v>
      </c>
      <c r="L46" s="76" t="s">
        <v>64</v>
      </c>
      <c r="M46" s="1" t="s">
        <v>5</v>
      </c>
      <c r="N46" s="35" t="s">
        <v>34</v>
      </c>
      <c r="O46" s="76" t="s">
        <v>64</v>
      </c>
      <c r="P46" s="1" t="s">
        <v>5</v>
      </c>
      <c r="Q46" s="35" t="s">
        <v>34</v>
      </c>
      <c r="R46" s="76" t="s">
        <v>64</v>
      </c>
      <c r="S46" s="30"/>
      <c r="T46" s="30"/>
      <c r="U46" s="30"/>
      <c r="V46" s="33"/>
      <c r="W46" s="32"/>
      <c r="X46" s="77"/>
    </row>
    <row x14ac:dyDescent="0.25" r="47" customHeight="1" ht="18">
      <c r="A47" s="91" t="s">
        <v>35</v>
      </c>
      <c r="B47" s="92"/>
      <c r="C47" s="49"/>
      <c r="D47" s="81">
        <v>4.12551</v>
      </c>
      <c r="E47" s="82">
        <v>0.00187574</v>
      </c>
      <c r="F47" s="83">
        <v>361.814</v>
      </c>
      <c r="G47" s="91" t="s">
        <v>35</v>
      </c>
      <c r="H47" s="92"/>
      <c r="I47" s="49"/>
      <c r="J47" s="91" t="s">
        <v>35</v>
      </c>
      <c r="K47" s="92"/>
      <c r="L47" s="49"/>
      <c r="M47" s="84">
        <v>4.10685</v>
      </c>
      <c r="N47" s="85">
        <v>0.00191394</v>
      </c>
      <c r="O47" s="86">
        <v>370.86</v>
      </c>
      <c r="P47" s="91" t="s">
        <v>35</v>
      </c>
      <c r="Q47" s="92"/>
      <c r="R47" s="49"/>
      <c r="S47" s="30"/>
      <c r="T47" s="30"/>
      <c r="U47" s="30"/>
      <c r="V47" s="33"/>
      <c r="W47" s="32"/>
      <c r="X47" s="77"/>
    </row>
    <row x14ac:dyDescent="0.25" r="48" customHeight="1" ht="18">
      <c r="A48" s="6"/>
      <c r="B48" s="93"/>
      <c r="C48" s="52"/>
      <c r="D48" s="84">
        <v>8.31414</v>
      </c>
      <c r="E48" s="85">
        <v>0.00402417</v>
      </c>
      <c r="F48" s="86">
        <v>385.167</v>
      </c>
      <c r="G48" s="6"/>
      <c r="H48" s="93"/>
      <c r="I48" s="52"/>
      <c r="J48" s="6"/>
      <c r="K48" s="93"/>
      <c r="L48" s="52"/>
      <c r="M48" s="84">
        <v>8.32806</v>
      </c>
      <c r="N48" s="85">
        <v>0.0042323</v>
      </c>
      <c r="O48" s="86">
        <v>404.411</v>
      </c>
      <c r="P48" s="6"/>
      <c r="Q48" s="93"/>
      <c r="R48" s="52"/>
      <c r="S48" s="30"/>
      <c r="T48" s="30"/>
      <c r="U48" s="30"/>
      <c r="V48" s="33"/>
      <c r="W48" s="32"/>
      <c r="X48" s="77"/>
    </row>
    <row x14ac:dyDescent="0.25" r="49" customHeight="1" ht="18">
      <c r="A49" s="6"/>
      <c r="B49" s="93"/>
      <c r="C49" s="52"/>
      <c r="D49" s="84">
        <v>13.066</v>
      </c>
      <c r="E49" s="85">
        <v>0.00673297</v>
      </c>
      <c r="F49" s="86">
        <v>410.068</v>
      </c>
      <c r="G49" s="6"/>
      <c r="H49" s="93"/>
      <c r="I49" s="52"/>
      <c r="J49" s="6"/>
      <c r="K49" s="93"/>
      <c r="L49" s="52"/>
      <c r="M49" s="84">
        <v>13.0697</v>
      </c>
      <c r="N49" s="85">
        <v>0.00705903</v>
      </c>
      <c r="O49" s="86">
        <v>429.804</v>
      </c>
      <c r="P49" s="6"/>
      <c r="Q49" s="93"/>
      <c r="R49" s="52"/>
      <c r="S49" s="30"/>
      <c r="T49" s="30"/>
      <c r="U49" s="30"/>
      <c r="V49" s="33"/>
      <c r="W49" s="32"/>
      <c r="X49" s="77"/>
    </row>
    <row x14ac:dyDescent="0.25" r="50" customHeight="1" ht="18">
      <c r="A50" s="6"/>
      <c r="B50" s="93"/>
      <c r="C50" s="52"/>
      <c r="D50" s="84">
        <v>17.2599</v>
      </c>
      <c r="E50" s="85">
        <v>0.00927805</v>
      </c>
      <c r="F50" s="86">
        <v>427.769</v>
      </c>
      <c r="G50" s="6"/>
      <c r="H50" s="93"/>
      <c r="I50" s="52"/>
      <c r="J50" s="6"/>
      <c r="K50" s="93"/>
      <c r="L50" s="52"/>
      <c r="M50" s="84">
        <v>17.2614</v>
      </c>
      <c r="N50" s="85">
        <v>0.00982177</v>
      </c>
      <c r="O50" s="86">
        <v>452.797</v>
      </c>
      <c r="P50" s="6"/>
      <c r="Q50" s="93"/>
      <c r="R50" s="52"/>
      <c r="S50" s="30"/>
      <c r="T50" s="30"/>
      <c r="U50" s="30"/>
      <c r="V50" s="33"/>
      <c r="W50" s="32"/>
      <c r="X50" s="77"/>
    </row>
    <row x14ac:dyDescent="0.25" r="51" customHeight="1" ht="18">
      <c r="A51" s="6"/>
      <c r="B51" s="93"/>
      <c r="C51" s="52"/>
      <c r="D51" s="84">
        <v>25.5999</v>
      </c>
      <c r="E51" s="85">
        <v>0.0148457</v>
      </c>
      <c r="F51" s="86">
        <v>461.48</v>
      </c>
      <c r="G51" s="6"/>
      <c r="H51" s="93"/>
      <c r="I51" s="52"/>
      <c r="J51" s="6"/>
      <c r="K51" s="93"/>
      <c r="L51" s="52"/>
      <c r="M51" s="84">
        <v>25.5965</v>
      </c>
      <c r="N51" s="85">
        <v>0.0156694</v>
      </c>
      <c r="O51" s="86">
        <v>487.149</v>
      </c>
      <c r="P51" s="6"/>
      <c r="Q51" s="93"/>
      <c r="R51" s="52"/>
      <c r="S51" s="30"/>
      <c r="T51" s="30"/>
      <c r="U51" s="30"/>
      <c r="V51" s="33"/>
      <c r="W51" s="32"/>
      <c r="X51" s="77"/>
    </row>
    <row x14ac:dyDescent="0.25" r="52" customHeight="1" ht="18">
      <c r="A52" s="6"/>
      <c r="B52" s="93"/>
      <c r="C52" s="52"/>
      <c r="D52" s="84">
        <v>33.9922</v>
      </c>
      <c r="E52" s="85">
        <v>0.0209011</v>
      </c>
      <c r="F52" s="86">
        <v>489.305</v>
      </c>
      <c r="G52" s="6"/>
      <c r="H52" s="93"/>
      <c r="I52" s="52"/>
      <c r="J52" s="6"/>
      <c r="K52" s="93"/>
      <c r="L52" s="52"/>
      <c r="M52" s="84">
        <v>33.9865</v>
      </c>
      <c r="N52" s="85">
        <v>0.0220957</v>
      </c>
      <c r="O52" s="86">
        <v>517.357</v>
      </c>
      <c r="P52" s="6"/>
      <c r="Q52" s="93"/>
      <c r="R52" s="52"/>
      <c r="S52" s="30"/>
      <c r="T52" s="30"/>
      <c r="U52" s="30"/>
      <c r="V52" s="33"/>
      <c r="W52" s="32"/>
      <c r="X52" s="77"/>
    </row>
    <row x14ac:dyDescent="0.25" r="53" customHeight="1" ht="18">
      <c r="A53" s="6"/>
      <c r="B53" s="93"/>
      <c r="C53" s="52"/>
      <c r="D53" s="84">
        <v>39.2421</v>
      </c>
      <c r="E53" s="85">
        <v>0.0249716</v>
      </c>
      <c r="F53" s="86">
        <v>506.39</v>
      </c>
      <c r="G53" s="6"/>
      <c r="H53" s="93"/>
      <c r="I53" s="52"/>
      <c r="J53" s="6"/>
      <c r="K53" s="93"/>
      <c r="L53" s="52"/>
      <c r="M53" s="84">
        <v>39.2381</v>
      </c>
      <c r="N53" s="85">
        <v>0.0264682</v>
      </c>
      <c r="O53" s="86">
        <v>536.792</v>
      </c>
      <c r="P53" s="6"/>
      <c r="Q53" s="93"/>
      <c r="R53" s="52"/>
      <c r="S53" s="30"/>
      <c r="T53" s="30"/>
      <c r="U53" s="30"/>
      <c r="V53" s="33"/>
      <c r="W53" s="32"/>
      <c r="X53" s="77"/>
    </row>
    <row x14ac:dyDescent="0.25" r="54" customHeight="1" ht="18">
      <c r="A54" s="6"/>
      <c r="B54" s="93"/>
      <c r="C54" s="52"/>
      <c r="D54" s="84">
        <v>44.4798</v>
      </c>
      <c r="E54" s="85">
        <v>0.0292748</v>
      </c>
      <c r="F54" s="86">
        <v>523.747</v>
      </c>
      <c r="G54" s="6"/>
      <c r="H54" s="93"/>
      <c r="I54" s="52"/>
      <c r="J54" s="6"/>
      <c r="K54" s="93"/>
      <c r="L54" s="52"/>
      <c r="M54" s="84">
        <v>44.4775</v>
      </c>
      <c r="N54" s="85">
        <v>0.031097</v>
      </c>
      <c r="O54" s="86">
        <v>556.376</v>
      </c>
      <c r="P54" s="6"/>
      <c r="Q54" s="93"/>
      <c r="R54" s="52"/>
      <c r="S54" s="30"/>
      <c r="T54" s="30"/>
      <c r="U54" s="30"/>
      <c r="V54" s="33"/>
      <c r="W54" s="32"/>
      <c r="X54" s="77"/>
    </row>
    <row x14ac:dyDescent="0.25" r="55" customHeight="1" ht="18">
      <c r="A55" s="6"/>
      <c r="B55" s="93"/>
      <c r="C55" s="52"/>
      <c r="D55" s="84">
        <v>52.3276</v>
      </c>
      <c r="E55" s="85">
        <v>0.0362793</v>
      </c>
      <c r="F55" s="86">
        <v>551.72</v>
      </c>
      <c r="G55" s="6"/>
      <c r="H55" s="93"/>
      <c r="I55" s="52"/>
      <c r="J55" s="6"/>
      <c r="K55" s="93"/>
      <c r="L55" s="52"/>
      <c r="M55" s="84">
        <v>52.3331</v>
      </c>
      <c r="N55" s="85">
        <v>0.0386241</v>
      </c>
      <c r="O55" s="86">
        <v>587.316</v>
      </c>
      <c r="P55" s="6"/>
      <c r="Q55" s="93"/>
      <c r="R55" s="52"/>
      <c r="S55" s="30"/>
      <c r="T55" s="30"/>
      <c r="U55" s="30"/>
      <c r="V55" s="33"/>
      <c r="W55" s="32"/>
      <c r="X55" s="77"/>
    </row>
    <row x14ac:dyDescent="0.25" r="56" customHeight="1" ht="18">
      <c r="A56" s="6"/>
      <c r="B56" s="93"/>
      <c r="C56" s="52"/>
      <c r="D56" s="84">
        <v>61.2101</v>
      </c>
      <c r="E56" s="85">
        <v>0.0450956</v>
      </c>
      <c r="F56" s="86">
        <v>586.275</v>
      </c>
      <c r="G56" s="6"/>
      <c r="H56" s="93"/>
      <c r="I56" s="52"/>
      <c r="J56" s="6"/>
      <c r="K56" s="93"/>
      <c r="L56" s="52"/>
      <c r="M56" s="84">
        <v>61.2217</v>
      </c>
      <c r="N56" s="85">
        <v>0.0481508</v>
      </c>
      <c r="O56" s="86">
        <v>625.876</v>
      </c>
      <c r="P56" s="6"/>
      <c r="Q56" s="93"/>
      <c r="R56" s="52"/>
      <c r="S56" s="30"/>
      <c r="T56" s="30"/>
      <c r="U56" s="30"/>
      <c r="V56" s="33"/>
      <c r="W56" s="32"/>
      <c r="X56" s="77"/>
    </row>
    <row x14ac:dyDescent="0.25" r="57" customHeight="1" ht="18">
      <c r="A57" s="6"/>
      <c r="B57" s="93"/>
      <c r="C57" s="52"/>
      <c r="D57" s="84">
        <v>73.3011</v>
      </c>
      <c r="E57" s="85">
        <v>0.0588499</v>
      </c>
      <c r="F57" s="86">
        <v>638.889</v>
      </c>
      <c r="G57" s="6"/>
      <c r="H57" s="93"/>
      <c r="I57" s="52"/>
      <c r="J57" s="6"/>
      <c r="K57" s="93"/>
      <c r="L57" s="52"/>
      <c r="M57" s="84">
        <v>73.3059</v>
      </c>
      <c r="N57" s="85">
        <v>0.0631036</v>
      </c>
      <c r="O57" s="86">
        <v>685.023</v>
      </c>
      <c r="P57" s="6"/>
      <c r="Q57" s="93"/>
      <c r="R57" s="52"/>
      <c r="S57" s="30"/>
      <c r="T57" s="30"/>
      <c r="U57" s="30"/>
      <c r="V57" s="33"/>
      <c r="W57" s="32"/>
      <c r="X57" s="77"/>
    </row>
    <row x14ac:dyDescent="0.25" r="58" customHeight="1" ht="18">
      <c r="A58" s="6"/>
      <c r="B58" s="93"/>
      <c r="C58" s="52"/>
      <c r="D58" s="84">
        <v>81.6416</v>
      </c>
      <c r="E58" s="85">
        <v>0.0695781</v>
      </c>
      <c r="F58" s="86">
        <v>678.19</v>
      </c>
      <c r="G58" s="6"/>
      <c r="H58" s="93"/>
      <c r="I58" s="52"/>
      <c r="J58" s="6"/>
      <c r="K58" s="93"/>
      <c r="L58" s="52"/>
      <c r="M58" s="84">
        <v>81.6473</v>
      </c>
      <c r="N58" s="85">
        <v>0.0749386</v>
      </c>
      <c r="O58" s="86">
        <v>730.388</v>
      </c>
      <c r="P58" s="6"/>
      <c r="Q58" s="93"/>
      <c r="R58" s="52"/>
      <c r="S58" s="30"/>
      <c r="T58" s="30"/>
      <c r="U58" s="30"/>
      <c r="V58" s="33"/>
      <c r="W58" s="32"/>
      <c r="X58" s="77"/>
    </row>
    <row x14ac:dyDescent="0.25" r="59" customHeight="1" ht="18">
      <c r="A59" s="6"/>
      <c r="B59" s="93"/>
      <c r="C59" s="52"/>
      <c r="D59" s="84">
        <v>94.7455</v>
      </c>
      <c r="E59" s="85">
        <v>0.0899214</v>
      </c>
      <c r="F59" s="86">
        <v>755.257</v>
      </c>
      <c r="G59" s="6"/>
      <c r="H59" s="93"/>
      <c r="I59" s="52"/>
      <c r="J59" s="6"/>
      <c r="K59" s="93"/>
      <c r="L59" s="52"/>
      <c r="M59" s="84">
        <v>94.7338</v>
      </c>
      <c r="N59" s="85">
        <v>0.0976626</v>
      </c>
      <c r="O59" s="86">
        <v>820.377</v>
      </c>
      <c r="P59" s="6"/>
      <c r="Q59" s="93"/>
      <c r="R59" s="52"/>
      <c r="S59" s="30"/>
      <c r="T59" s="30"/>
      <c r="U59" s="30"/>
      <c r="V59" s="33"/>
      <c r="W59" s="32"/>
      <c r="X59" s="77"/>
    </row>
    <row x14ac:dyDescent="0.25" r="60" customHeight="1" ht="18">
      <c r="A60" s="6"/>
      <c r="B60" s="93"/>
      <c r="C60" s="52"/>
      <c r="D60" s="84">
        <v>112.561</v>
      </c>
      <c r="E60" s="85">
        <v>0.126136</v>
      </c>
      <c r="F60" s="86">
        <v>891.745</v>
      </c>
      <c r="G60" s="6"/>
      <c r="H60" s="93"/>
      <c r="I60" s="52"/>
      <c r="J60" s="6"/>
      <c r="K60" s="93"/>
      <c r="L60" s="52"/>
      <c r="M60" s="84">
        <v>112.569</v>
      </c>
      <c r="N60" s="85">
        <v>0.138795</v>
      </c>
      <c r="O60" s="86">
        <v>981.173</v>
      </c>
      <c r="P60" s="6"/>
      <c r="Q60" s="93"/>
      <c r="R60" s="52"/>
      <c r="S60" s="30"/>
      <c r="T60" s="30"/>
      <c r="U60" s="30"/>
      <c r="V60" s="33"/>
      <c r="W60" s="32"/>
      <c r="X60" s="77"/>
    </row>
    <row x14ac:dyDescent="0.25" r="61" customHeight="1" ht="18">
      <c r="A61" s="6"/>
      <c r="B61" s="93"/>
      <c r="C61" s="52"/>
      <c r="D61" s="84">
        <v>138.247</v>
      </c>
      <c r="E61" s="85">
        <v>0.193019</v>
      </c>
      <c r="F61" s="86">
        <v>1111.05</v>
      </c>
      <c r="G61" s="6"/>
      <c r="H61" s="93"/>
      <c r="I61" s="52"/>
      <c r="J61" s="6"/>
      <c r="K61" s="93"/>
      <c r="L61" s="52"/>
      <c r="M61" s="84">
        <v>138.248</v>
      </c>
      <c r="N61" s="85">
        <v>0.213399</v>
      </c>
      <c r="O61" s="86">
        <v>1228.36</v>
      </c>
      <c r="P61" s="6"/>
      <c r="Q61" s="93"/>
      <c r="R61" s="52"/>
      <c r="S61" s="30"/>
      <c r="T61" s="30"/>
      <c r="U61" s="30"/>
      <c r="V61" s="33"/>
      <c r="W61" s="32"/>
      <c r="X61" s="77"/>
    </row>
    <row x14ac:dyDescent="0.25" r="62" customHeight="1" ht="18">
      <c r="A62" s="6"/>
      <c r="B62" s="93"/>
      <c r="C62" s="52"/>
      <c r="D62" s="84">
        <v>159.723</v>
      </c>
      <c r="E62" s="85">
        <v>0.254565</v>
      </c>
      <c r="F62" s="86">
        <v>1268.3</v>
      </c>
      <c r="G62" s="6"/>
      <c r="H62" s="93"/>
      <c r="I62" s="52"/>
      <c r="J62" s="6"/>
      <c r="K62" s="93"/>
      <c r="L62" s="52"/>
      <c r="M62" s="84">
        <v>159.721</v>
      </c>
      <c r="N62" s="85">
        <v>0.279721</v>
      </c>
      <c r="O62" s="86">
        <v>1393.64</v>
      </c>
      <c r="P62" s="6"/>
      <c r="Q62" s="93"/>
      <c r="R62" s="52"/>
      <c r="S62" s="30"/>
      <c r="T62" s="30"/>
      <c r="U62" s="30"/>
      <c r="V62" s="33"/>
      <c r="W62" s="32"/>
      <c r="X62" s="77"/>
    </row>
    <row x14ac:dyDescent="0.25" r="63" customHeight="1" ht="18">
      <c r="A63" s="6"/>
      <c r="B63" s="93"/>
      <c r="C63" s="52"/>
      <c r="D63" s="84">
        <v>185.89</v>
      </c>
      <c r="E63" s="85">
        <v>0.327945</v>
      </c>
      <c r="F63" s="86">
        <v>1403.89</v>
      </c>
      <c r="G63" s="6"/>
      <c r="H63" s="93"/>
      <c r="I63" s="52"/>
      <c r="J63" s="6"/>
      <c r="K63" s="93"/>
      <c r="L63" s="52"/>
      <c r="M63" s="84">
        <v>185.897</v>
      </c>
      <c r="N63" s="85">
        <v>0.3565</v>
      </c>
      <c r="O63" s="86">
        <v>1526.08</v>
      </c>
      <c r="P63" s="6"/>
      <c r="Q63" s="93"/>
      <c r="R63" s="52"/>
      <c r="S63" s="30"/>
      <c r="T63" s="30"/>
      <c r="U63" s="30"/>
      <c r="V63" s="33"/>
      <c r="W63" s="32"/>
      <c r="X63" s="77"/>
    </row>
    <row x14ac:dyDescent="0.25" r="64" customHeight="1" ht="18">
      <c r="A64" s="6"/>
      <c r="B64" s="93"/>
      <c r="C64" s="52"/>
      <c r="D64" s="84">
        <v>219.959</v>
      </c>
      <c r="E64" s="85">
        <v>0.415324</v>
      </c>
      <c r="F64" s="86">
        <v>1502.57</v>
      </c>
      <c r="G64" s="6"/>
      <c r="H64" s="93"/>
      <c r="I64" s="52"/>
      <c r="J64" s="6"/>
      <c r="K64" s="93"/>
      <c r="L64" s="52"/>
      <c r="M64" s="84">
        <v>219.971</v>
      </c>
      <c r="N64" s="85">
        <v>0.445927</v>
      </c>
      <c r="O64" s="86">
        <v>1613.2</v>
      </c>
      <c r="P64" s="6"/>
      <c r="Q64" s="93"/>
      <c r="R64" s="52"/>
      <c r="S64" s="30"/>
      <c r="T64" s="30"/>
      <c r="U64" s="30"/>
      <c r="V64" s="33"/>
      <c r="W64" s="32"/>
      <c r="X64" s="77"/>
    </row>
    <row x14ac:dyDescent="0.25" r="65" customHeight="1" ht="18">
      <c r="A65" s="6"/>
      <c r="B65" s="93"/>
      <c r="C65" s="52"/>
      <c r="D65" s="84">
        <v>258.67</v>
      </c>
      <c r="E65" s="85">
        <v>0.499992</v>
      </c>
      <c r="F65" s="86">
        <v>1538.18</v>
      </c>
      <c r="G65" s="6"/>
      <c r="H65" s="93"/>
      <c r="I65" s="52"/>
      <c r="J65" s="6"/>
      <c r="K65" s="93"/>
      <c r="L65" s="52"/>
      <c r="M65" s="84">
        <v>258.676</v>
      </c>
      <c r="N65" s="85">
        <v>0.531553</v>
      </c>
      <c r="O65" s="86">
        <v>1635.24</v>
      </c>
      <c r="P65" s="6"/>
      <c r="Q65" s="93"/>
      <c r="R65" s="52"/>
      <c r="S65" s="30"/>
      <c r="T65" s="30"/>
      <c r="U65" s="30"/>
      <c r="V65" s="33"/>
      <c r="W65" s="32"/>
      <c r="X65" s="77"/>
    </row>
    <row x14ac:dyDescent="0.25" r="66" customHeight="1" ht="18">
      <c r="A66" s="6"/>
      <c r="B66" s="93"/>
      <c r="C66" s="52"/>
      <c r="D66" s="84">
        <v>301.622</v>
      </c>
      <c r="E66" s="85">
        <v>0.579931</v>
      </c>
      <c r="F66" s="86">
        <v>1530.04</v>
      </c>
      <c r="G66" s="6"/>
      <c r="H66" s="93"/>
      <c r="I66" s="52"/>
      <c r="J66" s="6"/>
      <c r="K66" s="93"/>
      <c r="L66" s="52"/>
      <c r="M66" s="84">
        <v>301.633</v>
      </c>
      <c r="N66" s="85">
        <v>0.611643</v>
      </c>
      <c r="O66" s="86">
        <v>1613.65</v>
      </c>
      <c r="P66" s="6"/>
      <c r="Q66" s="93"/>
      <c r="R66" s="52"/>
      <c r="S66" s="30"/>
      <c r="T66" s="30"/>
      <c r="U66" s="30"/>
      <c r="V66" s="33"/>
      <c r="W66" s="32"/>
      <c r="X66" s="77"/>
    </row>
    <row x14ac:dyDescent="0.25" r="67" customHeight="1" ht="18">
      <c r="A67" s="6"/>
      <c r="B67" s="93"/>
      <c r="C67" s="52"/>
      <c r="D67" s="84">
        <v>362.407</v>
      </c>
      <c r="E67" s="85">
        <v>0.674621</v>
      </c>
      <c r="F67" s="86">
        <v>1481.34</v>
      </c>
      <c r="G67" s="6"/>
      <c r="H67" s="93"/>
      <c r="I67" s="52"/>
      <c r="J67" s="6"/>
      <c r="K67" s="93"/>
      <c r="L67" s="52"/>
      <c r="M67" s="84">
        <v>362.409</v>
      </c>
      <c r="N67" s="85">
        <v>0.706047</v>
      </c>
      <c r="O67" s="86">
        <v>1550.33</v>
      </c>
      <c r="P67" s="6"/>
      <c r="Q67" s="93"/>
      <c r="R67" s="52"/>
      <c r="S67" s="30"/>
      <c r="T67" s="30"/>
      <c r="U67" s="30"/>
      <c r="V67" s="33"/>
      <c r="W67" s="32"/>
      <c r="X67" s="77"/>
    </row>
    <row x14ac:dyDescent="0.25" r="68" customHeight="1" ht="18">
      <c r="A68" s="6"/>
      <c r="B68" s="93"/>
      <c r="C68" s="52"/>
      <c r="D68" s="84">
        <v>431.539</v>
      </c>
      <c r="E68" s="85">
        <v>0.763594</v>
      </c>
      <c r="F68" s="86">
        <v>1408.1</v>
      </c>
      <c r="G68" s="6"/>
      <c r="H68" s="93"/>
      <c r="I68" s="52"/>
      <c r="J68" s="6"/>
      <c r="K68" s="93"/>
      <c r="L68" s="52"/>
      <c r="M68" s="84">
        <v>431.545</v>
      </c>
      <c r="N68" s="85">
        <v>0.794576</v>
      </c>
      <c r="O68" s="86">
        <v>1465.21</v>
      </c>
      <c r="P68" s="6"/>
      <c r="Q68" s="93"/>
      <c r="R68" s="52"/>
      <c r="S68" s="30"/>
      <c r="T68" s="30"/>
      <c r="U68" s="30"/>
      <c r="V68" s="33"/>
      <c r="W68" s="32"/>
      <c r="X68" s="77"/>
    </row>
    <row x14ac:dyDescent="0.25" r="69" customHeight="1" ht="18">
      <c r="A69" s="6"/>
      <c r="B69" s="93"/>
      <c r="C69" s="52"/>
      <c r="D69" s="84">
        <v>517.41</v>
      </c>
      <c r="E69" s="85">
        <v>0.855586</v>
      </c>
      <c r="F69" s="86">
        <v>1315.89</v>
      </c>
      <c r="G69" s="6"/>
      <c r="H69" s="93"/>
      <c r="I69" s="52"/>
      <c r="J69" s="6"/>
      <c r="K69" s="93"/>
      <c r="L69" s="52"/>
      <c r="M69" s="84">
        <v>517.414</v>
      </c>
      <c r="N69" s="85">
        <v>0.885864</v>
      </c>
      <c r="O69" s="86">
        <v>1362.44</v>
      </c>
      <c r="P69" s="6"/>
      <c r="Q69" s="93"/>
      <c r="R69" s="52"/>
      <c r="S69" s="30"/>
      <c r="T69" s="30"/>
      <c r="U69" s="30"/>
      <c r="V69" s="33"/>
      <c r="W69" s="32"/>
      <c r="X69" s="77"/>
    </row>
    <row x14ac:dyDescent="0.25" r="70" customHeight="1" ht="18">
      <c r="A70" s="6"/>
      <c r="B70" s="93"/>
      <c r="C70" s="52"/>
      <c r="D70" s="84">
        <v>607.507</v>
      </c>
      <c r="E70" s="85">
        <v>0.936818</v>
      </c>
      <c r="F70" s="86">
        <v>1227.14</v>
      </c>
      <c r="G70" s="6"/>
      <c r="H70" s="93"/>
      <c r="I70" s="52"/>
      <c r="J70" s="6"/>
      <c r="K70" s="93"/>
      <c r="L70" s="52"/>
      <c r="M70" s="84">
        <v>607.527</v>
      </c>
      <c r="N70" s="85">
        <v>0.966177</v>
      </c>
      <c r="O70" s="86">
        <v>1265.56</v>
      </c>
      <c r="P70" s="6"/>
      <c r="Q70" s="93"/>
      <c r="R70" s="52"/>
      <c r="S70" s="30"/>
      <c r="T70" s="30"/>
      <c r="U70" s="30"/>
      <c r="V70" s="33"/>
      <c r="W70" s="32"/>
      <c r="X70" s="77"/>
    </row>
    <row x14ac:dyDescent="0.25" r="71" customHeight="1" ht="18">
      <c r="A71" s="6"/>
      <c r="B71" s="93"/>
      <c r="C71" s="52"/>
      <c r="D71" s="84">
        <v>686.076</v>
      </c>
      <c r="E71" s="85">
        <v>0.997925</v>
      </c>
      <c r="F71" s="86">
        <v>1157.49</v>
      </c>
      <c r="G71" s="6"/>
      <c r="H71" s="93"/>
      <c r="I71" s="52"/>
      <c r="J71" s="6"/>
      <c r="K71" s="93"/>
      <c r="L71" s="52"/>
      <c r="M71" s="84">
        <v>686.076</v>
      </c>
      <c r="N71" s="85">
        <v>1.02659</v>
      </c>
      <c r="O71" s="86">
        <v>1190.73</v>
      </c>
      <c r="P71" s="6"/>
      <c r="Q71" s="93"/>
      <c r="R71" s="52"/>
      <c r="S71" s="30"/>
      <c r="T71" s="30"/>
      <c r="U71" s="30"/>
      <c r="V71" s="33"/>
      <c r="W71" s="32"/>
      <c r="X71" s="77"/>
    </row>
    <row x14ac:dyDescent="0.25" r="72" customHeight="1" ht="18">
      <c r="A72" s="6"/>
      <c r="B72" s="93"/>
      <c r="C72" s="52"/>
      <c r="D72" s="84">
        <v>817.002</v>
      </c>
      <c r="E72" s="85">
        <v>1.0851</v>
      </c>
      <c r="F72" s="86">
        <v>1056.9</v>
      </c>
      <c r="G72" s="6"/>
      <c r="H72" s="93"/>
      <c r="I72" s="52"/>
      <c r="J72" s="6"/>
      <c r="K72" s="93"/>
      <c r="L72" s="52"/>
      <c r="M72" s="84">
        <v>816.986</v>
      </c>
      <c r="N72" s="85">
        <v>1.11219</v>
      </c>
      <c r="O72" s="86">
        <v>1083.32</v>
      </c>
      <c r="P72" s="6"/>
      <c r="Q72" s="93"/>
      <c r="R72" s="52"/>
      <c r="S72" s="30"/>
      <c r="T72" s="30"/>
      <c r="U72" s="30"/>
      <c r="V72" s="33"/>
      <c r="W72" s="32"/>
      <c r="X72" s="77"/>
    </row>
    <row x14ac:dyDescent="0.25" r="73" customHeight="1" ht="18">
      <c r="A73" s="6"/>
      <c r="B73" s="93"/>
      <c r="C73" s="52"/>
      <c r="D73" s="84">
        <v>974.145</v>
      </c>
      <c r="E73" s="85">
        <v>1.17093</v>
      </c>
      <c r="F73" s="86">
        <v>956.524</v>
      </c>
      <c r="G73" s="6"/>
      <c r="H73" s="93"/>
      <c r="I73" s="52"/>
      <c r="J73" s="6"/>
      <c r="K73" s="93"/>
      <c r="L73" s="52"/>
      <c r="M73" s="84">
        <v>974.113</v>
      </c>
      <c r="N73" s="85">
        <v>1.19592</v>
      </c>
      <c r="O73" s="86">
        <v>976.977</v>
      </c>
      <c r="P73" s="6"/>
      <c r="Q73" s="93"/>
      <c r="R73" s="52"/>
      <c r="S73" s="30"/>
      <c r="T73" s="30"/>
      <c r="U73" s="30"/>
      <c r="V73" s="33"/>
      <c r="W73" s="32"/>
      <c r="X73" s="77"/>
    </row>
    <row x14ac:dyDescent="0.25" r="74" customHeight="1" ht="18">
      <c r="A74" s="6"/>
      <c r="B74" s="93"/>
      <c r="C74" s="52"/>
      <c r="D74" s="84">
        <v>1031.75</v>
      </c>
      <c r="E74" s="85">
        <v>1.19793</v>
      </c>
      <c r="F74" s="86">
        <v>923.953</v>
      </c>
      <c r="G74" s="6"/>
      <c r="H74" s="93"/>
      <c r="I74" s="52"/>
      <c r="J74" s="6"/>
      <c r="K74" s="93"/>
      <c r="L74" s="52"/>
      <c r="M74" s="84">
        <v>1031.74</v>
      </c>
      <c r="N74" s="85">
        <v>1.22229</v>
      </c>
      <c r="O74" s="86">
        <v>942.748</v>
      </c>
      <c r="P74" s="6"/>
      <c r="Q74" s="93"/>
      <c r="R74" s="52"/>
      <c r="S74" s="30"/>
      <c r="T74" s="30"/>
      <c r="U74" s="30"/>
      <c r="V74" s="33"/>
      <c r="W74" s="32"/>
      <c r="X74" s="77"/>
    </row>
    <row x14ac:dyDescent="0.25" r="75" customHeight="1" ht="18">
      <c r="A75" s="6"/>
      <c r="B75" s="93"/>
      <c r="C75" s="52"/>
      <c r="D75" s="84">
        <v>1649.82</v>
      </c>
      <c r="E75" s="85">
        <v>1.3965</v>
      </c>
      <c r="F75" s="86">
        <v>673.59</v>
      </c>
      <c r="G75" s="6"/>
      <c r="H75" s="93"/>
      <c r="I75" s="52"/>
      <c r="J75" s="6"/>
      <c r="K75" s="93"/>
      <c r="L75" s="52"/>
      <c r="M75" s="84">
        <v>1649.77</v>
      </c>
      <c r="N75" s="85">
        <v>1.41262</v>
      </c>
      <c r="O75" s="86">
        <v>681.381</v>
      </c>
      <c r="P75" s="6"/>
      <c r="Q75" s="93"/>
      <c r="R75" s="52"/>
      <c r="S75" s="30"/>
      <c r="T75" s="30"/>
      <c r="U75" s="30"/>
      <c r="V75" s="33"/>
      <c r="W75" s="32"/>
      <c r="X75" s="77"/>
    </row>
    <row x14ac:dyDescent="0.25" r="76" customHeight="1" ht="18">
      <c r="A76" s="6"/>
      <c r="B76" s="93"/>
      <c r="C76" s="52"/>
      <c r="D76" s="84">
        <v>2885.84</v>
      </c>
      <c r="E76" s="85">
        <v>1.56157</v>
      </c>
      <c r="F76" s="86">
        <v>430.606</v>
      </c>
      <c r="G76" s="6"/>
      <c r="H76" s="93"/>
      <c r="I76" s="52"/>
      <c r="J76" s="6"/>
      <c r="K76" s="93"/>
      <c r="L76" s="52"/>
      <c r="M76" s="84">
        <v>2885.76</v>
      </c>
      <c r="N76" s="85">
        <v>1.56919</v>
      </c>
      <c r="O76" s="86">
        <v>432.718</v>
      </c>
      <c r="P76" s="6"/>
      <c r="Q76" s="93"/>
      <c r="R76" s="52"/>
      <c r="S76" s="30"/>
      <c r="T76" s="30"/>
      <c r="U76" s="30"/>
      <c r="V76" s="33"/>
      <c r="W76" s="32"/>
      <c r="X76" s="77"/>
    </row>
    <row x14ac:dyDescent="0.25" r="77" customHeight="1" ht="18">
      <c r="A77" s="6"/>
      <c r="B77" s="93"/>
      <c r="C77" s="52"/>
      <c r="D77" s="84">
        <v>3498.61</v>
      </c>
      <c r="E77" s="85">
        <v>1.60507</v>
      </c>
      <c r="F77" s="86">
        <v>365.08</v>
      </c>
      <c r="G77" s="6"/>
      <c r="H77" s="93"/>
      <c r="I77" s="52"/>
      <c r="J77" s="6"/>
      <c r="K77" s="93"/>
      <c r="L77" s="52"/>
      <c r="M77" s="84">
        <v>3498.43</v>
      </c>
      <c r="N77" s="85">
        <v>1.61068</v>
      </c>
      <c r="O77" s="86">
        <v>366.376</v>
      </c>
      <c r="P77" s="6"/>
      <c r="Q77" s="93"/>
      <c r="R77" s="52"/>
      <c r="S77" s="30"/>
      <c r="T77" s="30"/>
      <c r="U77" s="30"/>
      <c r="V77" s="33"/>
      <c r="W77" s="32"/>
      <c r="X77" s="77"/>
    </row>
    <row x14ac:dyDescent="0.25" r="78" customHeight="1" ht="18">
      <c r="A78" s="6"/>
      <c r="B78" s="93"/>
      <c r="C78" s="52"/>
      <c r="D78" s="84">
        <v>5950.06</v>
      </c>
      <c r="E78" s="85">
        <v>1.71076</v>
      </c>
      <c r="F78" s="86">
        <v>228.801</v>
      </c>
      <c r="G78" s="6"/>
      <c r="H78" s="93"/>
      <c r="I78" s="52"/>
      <c r="J78" s="6"/>
      <c r="K78" s="93"/>
      <c r="L78" s="52"/>
      <c r="M78" s="84">
        <v>5949.62</v>
      </c>
      <c r="N78" s="85">
        <v>1.71341</v>
      </c>
      <c r="O78" s="86">
        <v>229.173</v>
      </c>
      <c r="P78" s="6"/>
      <c r="Q78" s="93"/>
      <c r="R78" s="52"/>
      <c r="S78" s="30"/>
      <c r="T78" s="30"/>
      <c r="U78" s="30"/>
      <c r="V78" s="33"/>
      <c r="W78" s="32"/>
      <c r="X78" s="77"/>
    </row>
    <row x14ac:dyDescent="0.25" r="79" customHeight="1" ht="18">
      <c r="A79" s="6"/>
      <c r="B79" s="93"/>
      <c r="C79" s="52"/>
      <c r="D79" s="84">
        <v>8417.09</v>
      </c>
      <c r="E79" s="85">
        <v>1.77889</v>
      </c>
      <c r="F79" s="86">
        <v>168.181</v>
      </c>
      <c r="G79" s="6"/>
      <c r="H79" s="93"/>
      <c r="I79" s="52"/>
      <c r="J79" s="6"/>
      <c r="K79" s="93"/>
      <c r="L79" s="52"/>
      <c r="M79" s="84">
        <v>8416.77</v>
      </c>
      <c r="N79" s="85">
        <v>1.78042</v>
      </c>
      <c r="O79" s="86">
        <v>168.332</v>
      </c>
      <c r="P79" s="6"/>
      <c r="Q79" s="93"/>
      <c r="R79" s="52"/>
      <c r="S79" s="30"/>
      <c r="T79" s="30"/>
      <c r="U79" s="30"/>
      <c r="V79" s="33"/>
      <c r="W79" s="32"/>
      <c r="X79" s="77"/>
    </row>
    <row x14ac:dyDescent="0.25" r="80" customHeight="1" ht="18">
      <c r="A80" s="6"/>
      <c r="B80" s="93"/>
      <c r="C80" s="52"/>
      <c r="D80" s="84">
        <v>10873.5</v>
      </c>
      <c r="E80" s="85">
        <v>1.83161</v>
      </c>
      <c r="F80" s="86">
        <v>134.046</v>
      </c>
      <c r="G80" s="6"/>
      <c r="H80" s="93"/>
      <c r="I80" s="52"/>
      <c r="J80" s="6"/>
      <c r="K80" s="93"/>
      <c r="L80" s="52"/>
      <c r="M80" s="84">
        <v>10873.2</v>
      </c>
      <c r="N80" s="85">
        <v>1.83271</v>
      </c>
      <c r="O80" s="86">
        <v>134.13</v>
      </c>
      <c r="P80" s="6"/>
      <c r="Q80" s="93"/>
      <c r="R80" s="52"/>
      <c r="S80" s="30"/>
      <c r="T80" s="30"/>
      <c r="U80" s="30"/>
      <c r="V80" s="33"/>
      <c r="W80" s="32"/>
      <c r="X80" s="77"/>
    </row>
    <row x14ac:dyDescent="0.25" r="81" customHeight="1" ht="18">
      <c r="A81" s="6"/>
      <c r="B81" s="93"/>
      <c r="C81" s="52"/>
      <c r="D81" s="84">
        <v>15791.8</v>
      </c>
      <c r="E81" s="85">
        <v>1.91423</v>
      </c>
      <c r="F81" s="86">
        <v>96.4611</v>
      </c>
      <c r="G81" s="6"/>
      <c r="H81" s="93"/>
      <c r="I81" s="52"/>
      <c r="J81" s="6"/>
      <c r="K81" s="93"/>
      <c r="L81" s="52"/>
      <c r="M81" s="84">
        <v>15791.2</v>
      </c>
      <c r="N81" s="85">
        <v>1.91444</v>
      </c>
      <c r="O81" s="86">
        <v>96.4757</v>
      </c>
      <c r="P81" s="6"/>
      <c r="Q81" s="93"/>
      <c r="R81" s="52"/>
      <c r="S81" s="30"/>
      <c r="T81" s="30"/>
      <c r="U81" s="30"/>
      <c r="V81" s="33"/>
      <c r="W81" s="32"/>
      <c r="X81" s="77"/>
    </row>
    <row x14ac:dyDescent="0.25" r="82" customHeight="1" ht="18">
      <c r="A82" s="55"/>
      <c r="B82" s="94"/>
      <c r="C82" s="56"/>
      <c r="D82" s="87">
        <v>20709.3</v>
      </c>
      <c r="E82" s="88">
        <v>1.97773</v>
      </c>
      <c r="F82" s="89">
        <v>75.9964</v>
      </c>
      <c r="G82" s="55"/>
      <c r="H82" s="94"/>
      <c r="I82" s="56"/>
      <c r="J82" s="55"/>
      <c r="K82" s="94"/>
      <c r="L82" s="56"/>
      <c r="M82" s="87">
        <v>20709.7</v>
      </c>
      <c r="N82" s="88">
        <v>1.97859</v>
      </c>
      <c r="O82" s="89">
        <v>76.0276</v>
      </c>
      <c r="P82" s="55"/>
      <c r="Q82" s="94"/>
      <c r="R82" s="56"/>
      <c r="S82" s="30"/>
      <c r="T82" s="30"/>
      <c r="U82" s="30"/>
      <c r="V82" s="33"/>
      <c r="W82" s="32"/>
      <c r="X82" s="77"/>
    </row>
    <row x14ac:dyDescent="0.25" r="83" customHeight="1" ht="18">
      <c r="A83" s="33"/>
      <c r="B83" s="32"/>
      <c r="C83" s="77"/>
      <c r="D83" s="90"/>
      <c r="E83" s="32"/>
      <c r="F83" s="77"/>
      <c r="G83" s="33"/>
      <c r="H83" s="32"/>
      <c r="I83" s="77"/>
      <c r="J83" s="33"/>
      <c r="K83" s="32"/>
      <c r="L83" s="77"/>
      <c r="M83" s="33"/>
      <c r="N83" s="32"/>
      <c r="O83" s="77"/>
      <c r="P83" s="33"/>
      <c r="Q83" s="32"/>
      <c r="R83" s="77"/>
      <c r="S83" s="30"/>
      <c r="T83" s="30"/>
      <c r="U83" s="30"/>
      <c r="V83" s="33"/>
      <c r="W83" s="32"/>
      <c r="X83" s="77"/>
    </row>
    <row x14ac:dyDescent="0.25" r="84" customHeight="1" ht="18">
      <c r="A84" s="1" t="s">
        <v>13</v>
      </c>
      <c r="B84" s="35"/>
      <c r="C84" s="75"/>
      <c r="D84" s="36"/>
      <c r="E84" s="35"/>
      <c r="F84" s="75"/>
      <c r="G84" s="36"/>
      <c r="H84" s="35"/>
      <c r="I84" s="75"/>
      <c r="J84" s="36"/>
      <c r="K84" s="35"/>
      <c r="L84" s="75"/>
      <c r="M84" s="36"/>
      <c r="N84" s="35"/>
      <c r="O84" s="75"/>
      <c r="P84" s="36"/>
      <c r="Q84" s="35"/>
      <c r="R84" s="76"/>
      <c r="S84" s="30"/>
      <c r="T84" s="30"/>
      <c r="U84" s="30"/>
      <c r="V84" s="33"/>
      <c r="W84" s="32"/>
      <c r="X84" s="77"/>
    </row>
    <row x14ac:dyDescent="0.25" r="85" customHeight="1" ht="18">
      <c r="A85" s="1" t="s">
        <v>14</v>
      </c>
      <c r="B85" s="35"/>
      <c r="C85" s="75"/>
      <c r="D85" s="36"/>
      <c r="E85" s="35"/>
      <c r="F85" s="75"/>
      <c r="G85" s="36"/>
      <c r="H85" s="35"/>
      <c r="I85" s="76"/>
      <c r="J85" s="1" t="s">
        <v>15</v>
      </c>
      <c r="K85" s="35"/>
      <c r="L85" s="75"/>
      <c r="M85" s="36"/>
      <c r="N85" s="35"/>
      <c r="O85" s="75"/>
      <c r="P85" s="36"/>
      <c r="Q85" s="35"/>
      <c r="R85" s="76"/>
      <c r="S85" s="30"/>
      <c r="T85" s="30"/>
      <c r="U85" s="30"/>
      <c r="V85" s="33"/>
      <c r="W85" s="32"/>
      <c r="X85" s="77"/>
    </row>
    <row x14ac:dyDescent="0.25" r="86" customHeight="1" ht="18">
      <c r="A86" s="6" t="s">
        <v>71</v>
      </c>
      <c r="B86" s="78"/>
      <c r="C86" s="79"/>
      <c r="D86" s="1" t="s">
        <v>72</v>
      </c>
      <c r="E86" s="35"/>
      <c r="F86" s="76"/>
      <c r="G86" s="6" t="s">
        <v>73</v>
      </c>
      <c r="H86" s="78"/>
      <c r="I86" s="79"/>
      <c r="J86" s="6" t="s">
        <v>74</v>
      </c>
      <c r="K86" s="78"/>
      <c r="L86" s="79"/>
      <c r="M86" s="6" t="s">
        <v>75</v>
      </c>
      <c r="N86" s="78"/>
      <c r="O86" s="79"/>
      <c r="P86" s="6" t="s">
        <v>76</v>
      </c>
      <c r="Q86" s="78"/>
      <c r="R86" s="79"/>
      <c r="S86" s="30"/>
      <c r="T86" s="30"/>
      <c r="U86" s="30"/>
      <c r="V86" s="33"/>
      <c r="W86" s="32"/>
      <c r="X86" s="77"/>
    </row>
    <row x14ac:dyDescent="0.25" r="87" customHeight="1" ht="18">
      <c r="A87" s="1" t="s">
        <v>5</v>
      </c>
      <c r="B87" s="35" t="s">
        <v>34</v>
      </c>
      <c r="C87" s="76" t="s">
        <v>64</v>
      </c>
      <c r="D87" s="1" t="s">
        <v>5</v>
      </c>
      <c r="E87" s="35" t="s">
        <v>34</v>
      </c>
      <c r="F87" s="76" t="s">
        <v>64</v>
      </c>
      <c r="G87" s="1" t="s">
        <v>5</v>
      </c>
      <c r="H87" s="35" t="s">
        <v>34</v>
      </c>
      <c r="I87" s="76" t="s">
        <v>64</v>
      </c>
      <c r="J87" s="1" t="s">
        <v>5</v>
      </c>
      <c r="K87" s="35" t="s">
        <v>34</v>
      </c>
      <c r="L87" s="76" t="s">
        <v>64</v>
      </c>
      <c r="M87" s="1" t="s">
        <v>5</v>
      </c>
      <c r="N87" s="35" t="s">
        <v>34</v>
      </c>
      <c r="O87" s="76" t="s">
        <v>64</v>
      </c>
      <c r="P87" s="1" t="s">
        <v>5</v>
      </c>
      <c r="Q87" s="35" t="s">
        <v>34</v>
      </c>
      <c r="R87" s="76" t="s">
        <v>64</v>
      </c>
      <c r="S87" s="30"/>
      <c r="T87" s="30"/>
      <c r="U87" s="30"/>
      <c r="V87" s="33"/>
      <c r="W87" s="32"/>
      <c r="X87" s="77"/>
    </row>
    <row x14ac:dyDescent="0.25" r="88" customHeight="1" ht="18">
      <c r="A88" s="91" t="s">
        <v>35</v>
      </c>
      <c r="B88" s="92"/>
      <c r="C88" s="49"/>
      <c r="D88" s="81">
        <v>4.11781</v>
      </c>
      <c r="E88" s="82">
        <v>0.00168459</v>
      </c>
      <c r="F88" s="83">
        <v>325.55</v>
      </c>
      <c r="G88" s="91" t="s">
        <v>35</v>
      </c>
      <c r="H88" s="92"/>
      <c r="I88" s="49"/>
      <c r="J88" s="91" t="s">
        <v>35</v>
      </c>
      <c r="K88" s="92"/>
      <c r="L88" s="49"/>
      <c r="M88" s="84">
        <v>4.12228</v>
      </c>
      <c r="N88" s="85">
        <v>0.00178043</v>
      </c>
      <c r="O88" s="86">
        <v>343.698</v>
      </c>
      <c r="P88" s="91" t="s">
        <v>35</v>
      </c>
      <c r="Q88" s="92"/>
      <c r="R88" s="49"/>
      <c r="S88" s="30"/>
      <c r="T88" s="30"/>
      <c r="U88" s="30"/>
      <c r="V88" s="33"/>
      <c r="W88" s="32"/>
      <c r="X88" s="77"/>
    </row>
    <row x14ac:dyDescent="0.25" r="89" customHeight="1" ht="18">
      <c r="A89" s="6"/>
      <c r="B89" s="93"/>
      <c r="C89" s="52"/>
      <c r="D89" s="84">
        <v>8.31482</v>
      </c>
      <c r="E89" s="85">
        <v>0.00373556</v>
      </c>
      <c r="F89" s="86">
        <v>357.514</v>
      </c>
      <c r="G89" s="6"/>
      <c r="H89" s="93"/>
      <c r="I89" s="52"/>
      <c r="J89" s="6"/>
      <c r="K89" s="93"/>
      <c r="L89" s="52"/>
      <c r="M89" s="84">
        <v>8.32872</v>
      </c>
      <c r="N89" s="85">
        <v>0.00388528</v>
      </c>
      <c r="O89" s="86">
        <v>371.222</v>
      </c>
      <c r="P89" s="6"/>
      <c r="Q89" s="93"/>
      <c r="R89" s="52"/>
      <c r="S89" s="30"/>
      <c r="T89" s="30"/>
      <c r="U89" s="30"/>
      <c r="V89" s="33"/>
      <c r="W89" s="32"/>
      <c r="X89" s="77"/>
    </row>
    <row x14ac:dyDescent="0.25" r="90" customHeight="1" ht="18">
      <c r="A90" s="6"/>
      <c r="B90" s="93"/>
      <c r="C90" s="52"/>
      <c r="D90" s="84">
        <v>13.0643</v>
      </c>
      <c r="E90" s="85">
        <v>0.00621273</v>
      </c>
      <c r="F90" s="86">
        <v>378.43</v>
      </c>
      <c r="G90" s="6"/>
      <c r="H90" s="93"/>
      <c r="I90" s="52"/>
      <c r="J90" s="6"/>
      <c r="K90" s="93"/>
      <c r="L90" s="52"/>
      <c r="M90" s="84">
        <v>13.0614</v>
      </c>
      <c r="N90" s="85">
        <v>0.00659925</v>
      </c>
      <c r="O90" s="86">
        <v>402.064</v>
      </c>
      <c r="P90" s="6"/>
      <c r="Q90" s="93"/>
      <c r="R90" s="52"/>
      <c r="S90" s="30"/>
      <c r="T90" s="30"/>
      <c r="U90" s="30"/>
      <c r="V90" s="33"/>
      <c r="W90" s="32"/>
      <c r="X90" s="77"/>
    </row>
    <row x14ac:dyDescent="0.25" r="91" customHeight="1" ht="18">
      <c r="A91" s="6"/>
      <c r="B91" s="93"/>
      <c r="C91" s="52"/>
      <c r="D91" s="84">
        <v>17.2583</v>
      </c>
      <c r="E91" s="85">
        <v>0.00858578</v>
      </c>
      <c r="F91" s="86">
        <v>395.889</v>
      </c>
      <c r="G91" s="6"/>
      <c r="H91" s="93"/>
      <c r="I91" s="52"/>
      <c r="J91" s="6"/>
      <c r="K91" s="93"/>
      <c r="L91" s="52"/>
      <c r="M91" s="84">
        <v>17.279</v>
      </c>
      <c r="N91" s="85">
        <v>0.00915819</v>
      </c>
      <c r="O91" s="86">
        <v>421.775</v>
      </c>
      <c r="P91" s="6"/>
      <c r="Q91" s="93"/>
      <c r="R91" s="52"/>
      <c r="S91" s="30"/>
      <c r="T91" s="30"/>
      <c r="U91" s="30"/>
      <c r="V91" s="33"/>
      <c r="W91" s="32"/>
      <c r="X91" s="77"/>
    </row>
    <row x14ac:dyDescent="0.25" r="92" customHeight="1" ht="18">
      <c r="A92" s="6"/>
      <c r="B92" s="93"/>
      <c r="C92" s="52"/>
      <c r="D92" s="84">
        <v>25.6116</v>
      </c>
      <c r="E92" s="85">
        <v>0.0138013</v>
      </c>
      <c r="F92" s="86">
        <v>428.818</v>
      </c>
      <c r="G92" s="6"/>
      <c r="H92" s="93"/>
      <c r="I92" s="52"/>
      <c r="J92" s="6"/>
      <c r="K92" s="93"/>
      <c r="L92" s="52"/>
      <c r="M92" s="84">
        <v>25.6195</v>
      </c>
      <c r="N92" s="85">
        <v>0.0146097</v>
      </c>
      <c r="O92" s="86">
        <v>453.798</v>
      </c>
      <c r="P92" s="6"/>
      <c r="Q92" s="93"/>
      <c r="R92" s="52"/>
      <c r="S92" s="30"/>
      <c r="T92" s="30"/>
      <c r="U92" s="30"/>
      <c r="V92" s="33"/>
      <c r="W92" s="32"/>
      <c r="X92" s="77"/>
    </row>
    <row x14ac:dyDescent="0.25" r="93" customHeight="1" ht="18">
      <c r="A93" s="6"/>
      <c r="B93" s="93"/>
      <c r="C93" s="52"/>
      <c r="D93" s="84">
        <v>33.9973</v>
      </c>
      <c r="E93" s="85">
        <v>0.0195089</v>
      </c>
      <c r="F93" s="86">
        <v>456.646</v>
      </c>
      <c r="G93" s="6"/>
      <c r="H93" s="93"/>
      <c r="I93" s="52"/>
      <c r="J93" s="6"/>
      <c r="K93" s="93"/>
      <c r="L93" s="52"/>
      <c r="M93" s="84">
        <v>34.0208</v>
      </c>
      <c r="N93" s="85">
        <v>0.0206884</v>
      </c>
      <c r="O93" s="86">
        <v>483.918</v>
      </c>
      <c r="P93" s="6"/>
      <c r="Q93" s="93"/>
      <c r="R93" s="52"/>
      <c r="S93" s="30"/>
      <c r="T93" s="30"/>
      <c r="U93" s="30"/>
      <c r="V93" s="33"/>
      <c r="W93" s="32"/>
      <c r="X93" s="77"/>
    </row>
    <row x14ac:dyDescent="0.25" r="94" customHeight="1" ht="18">
      <c r="A94" s="6"/>
      <c r="B94" s="93"/>
      <c r="C94" s="52"/>
      <c r="D94" s="84">
        <v>39.2491</v>
      </c>
      <c r="E94" s="85">
        <v>0.0232233</v>
      </c>
      <c r="F94" s="86">
        <v>470.853</v>
      </c>
      <c r="G94" s="6"/>
      <c r="H94" s="93"/>
      <c r="I94" s="52"/>
      <c r="J94" s="6"/>
      <c r="K94" s="93"/>
      <c r="L94" s="52"/>
      <c r="M94" s="84">
        <v>39.267</v>
      </c>
      <c r="N94" s="85">
        <v>0.0247365</v>
      </c>
      <c r="O94" s="86">
        <v>501.303</v>
      </c>
      <c r="P94" s="6"/>
      <c r="Q94" s="93"/>
      <c r="R94" s="52"/>
      <c r="S94" s="30"/>
      <c r="T94" s="30"/>
      <c r="U94" s="30"/>
      <c r="V94" s="33"/>
      <c r="W94" s="32"/>
      <c r="X94" s="77"/>
    </row>
    <row x14ac:dyDescent="0.25" r="95" customHeight="1" ht="18">
      <c r="A95" s="6"/>
      <c r="B95" s="93"/>
      <c r="C95" s="52"/>
      <c r="D95" s="84">
        <v>44.4921</v>
      </c>
      <c r="E95" s="85">
        <v>0.0271945</v>
      </c>
      <c r="F95" s="86">
        <v>486.395</v>
      </c>
      <c r="G95" s="6"/>
      <c r="H95" s="93"/>
      <c r="I95" s="52"/>
      <c r="J95" s="6"/>
      <c r="K95" s="93"/>
      <c r="L95" s="52"/>
      <c r="M95" s="84">
        <v>44.515</v>
      </c>
      <c r="N95" s="85">
        <v>0.0290624</v>
      </c>
      <c r="O95" s="86">
        <v>519.536</v>
      </c>
      <c r="P95" s="6"/>
      <c r="Q95" s="93"/>
      <c r="R95" s="52"/>
      <c r="S95" s="30"/>
      <c r="T95" s="30"/>
      <c r="U95" s="30"/>
      <c r="V95" s="33"/>
      <c r="W95" s="32"/>
      <c r="X95" s="77"/>
    </row>
    <row x14ac:dyDescent="0.25" r="96" customHeight="1" ht="18">
      <c r="A96" s="6"/>
      <c r="B96" s="93"/>
      <c r="C96" s="52"/>
      <c r="D96" s="84">
        <v>52.3353</v>
      </c>
      <c r="E96" s="85">
        <v>0.03367</v>
      </c>
      <c r="F96" s="86">
        <v>511.962</v>
      </c>
      <c r="G96" s="6"/>
      <c r="H96" s="93"/>
      <c r="I96" s="52"/>
      <c r="J96" s="6"/>
      <c r="K96" s="93"/>
      <c r="L96" s="52"/>
      <c r="M96" s="84">
        <v>52.3697</v>
      </c>
      <c r="N96" s="85">
        <v>0.0359535</v>
      </c>
      <c r="O96" s="86">
        <v>546.326</v>
      </c>
      <c r="P96" s="6"/>
      <c r="Q96" s="93"/>
      <c r="R96" s="52"/>
      <c r="S96" s="30"/>
      <c r="T96" s="30"/>
      <c r="U96" s="30"/>
      <c r="V96" s="33"/>
      <c r="W96" s="32"/>
      <c r="X96" s="77"/>
    </row>
    <row x14ac:dyDescent="0.25" r="97" customHeight="1" ht="18">
      <c r="A97" s="6"/>
      <c r="B97" s="93"/>
      <c r="C97" s="52"/>
      <c r="D97" s="84">
        <v>61.2255</v>
      </c>
      <c r="E97" s="85">
        <v>0.0417397</v>
      </c>
      <c r="F97" s="86">
        <v>542.51</v>
      </c>
      <c r="G97" s="6"/>
      <c r="H97" s="93"/>
      <c r="I97" s="52"/>
      <c r="J97" s="6"/>
      <c r="K97" s="93"/>
      <c r="L97" s="52"/>
      <c r="M97" s="84">
        <v>61.2737</v>
      </c>
      <c r="N97" s="85">
        <v>0.0446328</v>
      </c>
      <c r="O97" s="86">
        <v>579.656</v>
      </c>
      <c r="P97" s="6"/>
      <c r="Q97" s="93"/>
      <c r="R97" s="52"/>
      <c r="S97" s="30"/>
      <c r="T97" s="30"/>
      <c r="U97" s="30"/>
      <c r="V97" s="33"/>
      <c r="W97" s="32"/>
      <c r="X97" s="77"/>
    </row>
    <row x14ac:dyDescent="0.25" r="98" customHeight="1" ht="18">
      <c r="A98" s="6"/>
      <c r="B98" s="93"/>
      <c r="C98" s="52"/>
      <c r="D98" s="84">
        <v>73.3246</v>
      </c>
      <c r="E98" s="85">
        <v>0.0541241</v>
      </c>
      <c r="F98" s="86">
        <v>587.396</v>
      </c>
      <c r="G98" s="6"/>
      <c r="H98" s="93"/>
      <c r="I98" s="52"/>
      <c r="J98" s="6"/>
      <c r="K98" s="93"/>
      <c r="L98" s="52"/>
      <c r="M98" s="84">
        <v>73.3627</v>
      </c>
      <c r="N98" s="85">
        <v>0.0580429</v>
      </c>
      <c r="O98" s="86">
        <v>629.598</v>
      </c>
      <c r="P98" s="6"/>
      <c r="Q98" s="93"/>
      <c r="R98" s="52"/>
      <c r="S98" s="30"/>
      <c r="T98" s="30"/>
      <c r="U98" s="30"/>
      <c r="V98" s="33"/>
      <c r="W98" s="32"/>
      <c r="X98" s="77"/>
    </row>
    <row x14ac:dyDescent="0.25" r="99" customHeight="1" ht="18">
      <c r="A99" s="6"/>
      <c r="B99" s="93"/>
      <c r="C99" s="52"/>
      <c r="D99" s="84">
        <v>81.6694</v>
      </c>
      <c r="E99" s="85">
        <v>0.0636137</v>
      </c>
      <c r="F99" s="86">
        <v>619.843</v>
      </c>
      <c r="G99" s="6"/>
      <c r="H99" s="93"/>
      <c r="I99" s="52"/>
      <c r="J99" s="6"/>
      <c r="K99" s="93"/>
      <c r="L99" s="52"/>
      <c r="M99" s="84">
        <v>81.7146</v>
      </c>
      <c r="N99" s="85">
        <v>0.0684469</v>
      </c>
      <c r="O99" s="86">
        <v>666.567</v>
      </c>
      <c r="P99" s="6"/>
      <c r="Q99" s="93"/>
      <c r="R99" s="52"/>
      <c r="S99" s="30"/>
      <c r="T99" s="30"/>
      <c r="U99" s="30"/>
      <c r="V99" s="33"/>
      <c r="W99" s="32"/>
      <c r="X99" s="77"/>
    </row>
    <row x14ac:dyDescent="0.25" r="100" customHeight="1" ht="18">
      <c r="A100" s="6"/>
      <c r="B100" s="93"/>
      <c r="C100" s="52"/>
      <c r="D100" s="84">
        <v>94.7471</v>
      </c>
      <c r="E100" s="85">
        <v>0.0812768</v>
      </c>
      <c r="F100" s="86">
        <v>682.639</v>
      </c>
      <c r="G100" s="6"/>
      <c r="H100" s="93"/>
      <c r="I100" s="52"/>
      <c r="J100" s="6"/>
      <c r="K100" s="93"/>
      <c r="L100" s="52"/>
      <c r="M100" s="84">
        <v>94.808</v>
      </c>
      <c r="N100" s="85">
        <v>0.0879312</v>
      </c>
      <c r="O100" s="86">
        <v>738.055</v>
      </c>
      <c r="P100" s="6"/>
      <c r="Q100" s="93"/>
      <c r="R100" s="52"/>
      <c r="S100" s="30"/>
      <c r="T100" s="30"/>
      <c r="U100" s="30"/>
      <c r="V100" s="33"/>
      <c r="W100" s="32"/>
      <c r="X100" s="77"/>
    </row>
    <row x14ac:dyDescent="0.25" r="101" customHeight="1" ht="18">
      <c r="A101" s="6"/>
      <c r="B101" s="93"/>
      <c r="C101" s="52"/>
      <c r="D101" s="84">
        <v>112.573</v>
      </c>
      <c r="E101" s="85">
        <v>0.112182</v>
      </c>
      <c r="F101" s="86">
        <v>793.008</v>
      </c>
      <c r="G101" s="6"/>
      <c r="H101" s="93"/>
      <c r="I101" s="52"/>
      <c r="J101" s="6"/>
      <c r="K101" s="93"/>
      <c r="L101" s="52"/>
      <c r="M101" s="84">
        <v>112.654</v>
      </c>
      <c r="N101" s="85">
        <v>0.122327</v>
      </c>
      <c r="O101" s="86">
        <v>864.108</v>
      </c>
      <c r="P101" s="6"/>
      <c r="Q101" s="93"/>
      <c r="R101" s="52"/>
      <c r="S101" s="30"/>
      <c r="T101" s="30"/>
      <c r="U101" s="30"/>
      <c r="V101" s="33"/>
      <c r="W101" s="32"/>
      <c r="X101" s="77"/>
    </row>
    <row x14ac:dyDescent="0.25" r="102" customHeight="1" ht="18">
      <c r="A102" s="6"/>
      <c r="B102" s="93"/>
      <c r="C102" s="52"/>
      <c r="D102" s="84">
        <v>138.262</v>
      </c>
      <c r="E102" s="85">
        <v>0.170418</v>
      </c>
      <c r="F102" s="86">
        <v>980.854</v>
      </c>
      <c r="G102" s="6"/>
      <c r="H102" s="93"/>
      <c r="I102" s="52"/>
      <c r="J102" s="6"/>
      <c r="K102" s="93"/>
      <c r="L102" s="52"/>
      <c r="M102" s="84">
        <v>138.352</v>
      </c>
      <c r="N102" s="85">
        <v>0.186946</v>
      </c>
      <c r="O102" s="86">
        <v>1075.28</v>
      </c>
      <c r="P102" s="6"/>
      <c r="Q102" s="93"/>
      <c r="R102" s="52"/>
      <c r="S102" s="30"/>
      <c r="T102" s="30"/>
      <c r="U102" s="30"/>
      <c r="V102" s="33"/>
      <c r="W102" s="32"/>
      <c r="X102" s="77"/>
    </row>
    <row x14ac:dyDescent="0.25" r="103" customHeight="1" ht="18">
      <c r="A103" s="6"/>
      <c r="B103" s="93"/>
      <c r="C103" s="52"/>
      <c r="D103" s="84">
        <v>159.747</v>
      </c>
      <c r="E103" s="85">
        <v>0.226866</v>
      </c>
      <c r="F103" s="86">
        <v>1130.13</v>
      </c>
      <c r="G103" s="6"/>
      <c r="H103" s="93"/>
      <c r="I103" s="52"/>
      <c r="J103" s="6"/>
      <c r="K103" s="93"/>
      <c r="L103" s="52"/>
      <c r="M103" s="84">
        <v>159.848</v>
      </c>
      <c r="N103" s="85">
        <v>0.248022</v>
      </c>
      <c r="O103" s="86">
        <v>1234.74</v>
      </c>
      <c r="P103" s="6"/>
      <c r="Q103" s="93"/>
      <c r="R103" s="52"/>
      <c r="S103" s="30"/>
      <c r="T103" s="30"/>
      <c r="U103" s="30"/>
      <c r="V103" s="33"/>
      <c r="W103" s="32"/>
      <c r="X103" s="77"/>
    </row>
    <row x14ac:dyDescent="0.25" r="104" customHeight="1" ht="18">
      <c r="A104" s="6"/>
      <c r="B104" s="93"/>
      <c r="C104" s="52"/>
      <c r="D104" s="84">
        <v>185.926</v>
      </c>
      <c r="E104" s="85">
        <v>0.296541</v>
      </c>
      <c r="F104" s="86">
        <v>1269.21</v>
      </c>
      <c r="G104" s="6"/>
      <c r="H104" s="93"/>
      <c r="I104" s="52"/>
      <c r="J104" s="6"/>
      <c r="K104" s="93"/>
      <c r="L104" s="52"/>
      <c r="M104" s="84">
        <v>186.04</v>
      </c>
      <c r="N104" s="85">
        <v>0.321474</v>
      </c>
      <c r="O104" s="86">
        <v>1375.09</v>
      </c>
      <c r="P104" s="6"/>
      <c r="Q104" s="93"/>
      <c r="R104" s="52"/>
      <c r="S104" s="30"/>
      <c r="T104" s="30"/>
      <c r="U104" s="30"/>
      <c r="V104" s="33"/>
      <c r="W104" s="32"/>
      <c r="X104" s="77"/>
    </row>
    <row x14ac:dyDescent="0.25" r="105" customHeight="1" ht="18">
      <c r="A105" s="6"/>
      <c r="B105" s="93"/>
      <c r="C105" s="52"/>
      <c r="D105" s="84">
        <v>219.991</v>
      </c>
      <c r="E105" s="85">
        <v>0.380778</v>
      </c>
      <c r="F105" s="86">
        <v>1377.39</v>
      </c>
      <c r="G105" s="6"/>
      <c r="H105" s="93"/>
      <c r="I105" s="52"/>
      <c r="J105" s="6"/>
      <c r="K105" s="93"/>
      <c r="L105" s="52"/>
      <c r="M105" s="84">
        <v>220.137</v>
      </c>
      <c r="N105" s="85">
        <v>0.408573</v>
      </c>
      <c r="O105" s="86">
        <v>1476.95</v>
      </c>
      <c r="P105" s="6"/>
      <c r="Q105" s="93"/>
      <c r="R105" s="52"/>
      <c r="S105" s="30"/>
      <c r="T105" s="30"/>
      <c r="U105" s="30"/>
      <c r="V105" s="33"/>
      <c r="W105" s="32"/>
      <c r="X105" s="77"/>
    </row>
    <row x14ac:dyDescent="0.25" r="106" customHeight="1" ht="18">
      <c r="A106" s="6"/>
      <c r="B106" s="93"/>
      <c r="C106" s="52"/>
      <c r="D106" s="84">
        <v>258.707</v>
      </c>
      <c r="E106" s="85">
        <v>0.462791</v>
      </c>
      <c r="F106" s="86">
        <v>1423.53</v>
      </c>
      <c r="G106" s="6"/>
      <c r="H106" s="93"/>
      <c r="I106" s="52"/>
      <c r="J106" s="6"/>
      <c r="K106" s="93"/>
      <c r="L106" s="52"/>
      <c r="M106" s="84">
        <v>258.873</v>
      </c>
      <c r="N106" s="85">
        <v>0.492409</v>
      </c>
      <c r="O106" s="86">
        <v>1513.66</v>
      </c>
      <c r="P106" s="6"/>
      <c r="Q106" s="93"/>
      <c r="R106" s="52"/>
      <c r="S106" s="30"/>
      <c r="T106" s="30"/>
      <c r="U106" s="30"/>
      <c r="V106" s="33"/>
      <c r="W106" s="32"/>
      <c r="X106" s="77"/>
    </row>
    <row x14ac:dyDescent="0.25" r="107" customHeight="1" ht="18">
      <c r="A107" s="6"/>
      <c r="B107" s="93"/>
      <c r="C107" s="52"/>
      <c r="D107" s="84">
        <v>301.659</v>
      </c>
      <c r="E107" s="85">
        <v>0.540152</v>
      </c>
      <c r="F107" s="86">
        <v>1424.92</v>
      </c>
      <c r="G107" s="6"/>
      <c r="H107" s="93"/>
      <c r="I107" s="52"/>
      <c r="J107" s="6"/>
      <c r="K107" s="93"/>
      <c r="L107" s="52"/>
      <c r="M107" s="84">
        <v>301.851</v>
      </c>
      <c r="N107" s="85">
        <v>0.57086</v>
      </c>
      <c r="O107" s="86">
        <v>1504.97</v>
      </c>
      <c r="P107" s="6"/>
      <c r="Q107" s="93"/>
      <c r="R107" s="52"/>
      <c r="S107" s="30"/>
      <c r="T107" s="30"/>
      <c r="U107" s="30"/>
      <c r="V107" s="33"/>
      <c r="W107" s="32"/>
      <c r="X107" s="77"/>
    </row>
    <row x14ac:dyDescent="0.25" r="108" customHeight="1" ht="18">
      <c r="A108" s="6"/>
      <c r="B108" s="93"/>
      <c r="C108" s="52"/>
      <c r="D108" s="84">
        <v>362.472</v>
      </c>
      <c r="E108" s="85">
        <v>0.631726</v>
      </c>
      <c r="F108" s="86">
        <v>1386.9</v>
      </c>
      <c r="G108" s="6"/>
      <c r="H108" s="93"/>
      <c r="I108" s="52"/>
      <c r="J108" s="6"/>
      <c r="K108" s="93"/>
      <c r="L108" s="52"/>
      <c r="M108" s="84">
        <v>362.702</v>
      </c>
      <c r="N108" s="85">
        <v>0.663167</v>
      </c>
      <c r="O108" s="86">
        <v>1455</v>
      </c>
      <c r="P108" s="6"/>
      <c r="Q108" s="93"/>
      <c r="R108" s="52"/>
      <c r="S108" s="30"/>
      <c r="T108" s="30"/>
      <c r="U108" s="30"/>
      <c r="V108" s="33"/>
      <c r="W108" s="32"/>
      <c r="X108" s="77"/>
    </row>
    <row x14ac:dyDescent="0.25" r="109" customHeight="1" ht="18">
      <c r="A109" s="6"/>
      <c r="B109" s="93"/>
      <c r="C109" s="52"/>
      <c r="D109" s="84">
        <v>431.613</v>
      </c>
      <c r="E109" s="85">
        <v>0.718006</v>
      </c>
      <c r="F109" s="86">
        <v>1323.8</v>
      </c>
      <c r="G109" s="6"/>
      <c r="H109" s="93"/>
      <c r="I109" s="52"/>
      <c r="J109" s="6"/>
      <c r="K109" s="93"/>
      <c r="L109" s="52"/>
      <c r="M109" s="84">
        <v>431.898</v>
      </c>
      <c r="N109" s="85">
        <v>0.749957</v>
      </c>
      <c r="O109" s="86">
        <v>1381.8</v>
      </c>
      <c r="P109" s="6"/>
      <c r="Q109" s="93"/>
      <c r="R109" s="52"/>
      <c r="S109" s="30"/>
      <c r="T109" s="30"/>
      <c r="U109" s="30"/>
      <c r="V109" s="33"/>
      <c r="W109" s="32"/>
      <c r="X109" s="77"/>
    </row>
    <row x14ac:dyDescent="0.25" r="110" customHeight="1" ht="18">
      <c r="A110" s="6"/>
      <c r="B110" s="93"/>
      <c r="C110" s="52"/>
      <c r="D110" s="84">
        <v>517.489</v>
      </c>
      <c r="E110" s="85">
        <v>0.80779</v>
      </c>
      <c r="F110" s="86">
        <v>1242.19</v>
      </c>
      <c r="G110" s="6"/>
      <c r="H110" s="93"/>
      <c r="I110" s="52"/>
      <c r="J110" s="6"/>
      <c r="K110" s="93"/>
      <c r="L110" s="52"/>
      <c r="M110" s="84">
        <v>517.821</v>
      </c>
      <c r="N110" s="85">
        <v>0.840032</v>
      </c>
      <c r="O110" s="86">
        <v>1290.94</v>
      </c>
      <c r="P110" s="6"/>
      <c r="Q110" s="93"/>
      <c r="R110" s="52"/>
      <c r="S110" s="30"/>
      <c r="T110" s="30"/>
      <c r="U110" s="30"/>
      <c r="V110" s="33"/>
      <c r="W110" s="32"/>
      <c r="X110" s="77"/>
    </row>
    <row x14ac:dyDescent="0.25" r="111" customHeight="1" ht="18">
      <c r="A111" s="6"/>
      <c r="B111" s="93"/>
      <c r="C111" s="52"/>
      <c r="D111" s="84">
        <v>607.608</v>
      </c>
      <c r="E111" s="85">
        <v>0.88768</v>
      </c>
      <c r="F111" s="86">
        <v>1162.58</v>
      </c>
      <c r="G111" s="6"/>
      <c r="H111" s="93"/>
      <c r="I111" s="52"/>
      <c r="J111" s="6"/>
      <c r="K111" s="93"/>
      <c r="L111" s="52"/>
      <c r="M111" s="84">
        <v>608.001</v>
      </c>
      <c r="N111" s="85">
        <v>0.919839</v>
      </c>
      <c r="O111" s="86">
        <v>1203.92</v>
      </c>
      <c r="P111" s="6"/>
      <c r="Q111" s="93"/>
      <c r="R111" s="52"/>
      <c r="S111" s="30"/>
      <c r="T111" s="30"/>
      <c r="U111" s="30"/>
      <c r="V111" s="33"/>
      <c r="W111" s="32"/>
      <c r="X111" s="77"/>
    </row>
    <row x14ac:dyDescent="0.25" r="112" customHeight="1" ht="18">
      <c r="A112" s="6"/>
      <c r="B112" s="93"/>
      <c r="C112" s="52"/>
      <c r="D112" s="84">
        <v>686.188</v>
      </c>
      <c r="E112" s="85">
        <v>0.948568</v>
      </c>
      <c r="F112" s="86">
        <v>1100.06</v>
      </c>
      <c r="G112" s="6"/>
      <c r="H112" s="93"/>
      <c r="I112" s="52"/>
      <c r="J112" s="6"/>
      <c r="K112" s="93"/>
      <c r="L112" s="52"/>
      <c r="M112" s="84">
        <v>686.638</v>
      </c>
      <c r="N112" s="85">
        <v>0.980328</v>
      </c>
      <c r="O112" s="86">
        <v>1136.15</v>
      </c>
      <c r="P112" s="6"/>
      <c r="Q112" s="93"/>
      <c r="R112" s="52"/>
      <c r="S112" s="30"/>
      <c r="T112" s="30"/>
      <c r="U112" s="30"/>
      <c r="V112" s="33"/>
      <c r="W112" s="32"/>
      <c r="X112" s="77"/>
    </row>
    <row x14ac:dyDescent="0.25" r="113" customHeight="1" ht="18">
      <c r="A113" s="6"/>
      <c r="B113" s="93"/>
      <c r="C113" s="52"/>
      <c r="D113" s="84">
        <v>817.114</v>
      </c>
      <c r="E113" s="85">
        <v>1.03655</v>
      </c>
      <c r="F113" s="86">
        <v>1009.48</v>
      </c>
      <c r="G113" s="6"/>
      <c r="H113" s="93"/>
      <c r="I113" s="52"/>
      <c r="J113" s="6"/>
      <c r="K113" s="93"/>
      <c r="L113" s="52"/>
      <c r="M113" s="84">
        <v>817.661</v>
      </c>
      <c r="N113" s="85">
        <v>1.06736</v>
      </c>
      <c r="O113" s="86">
        <v>1038.79</v>
      </c>
      <c r="P113" s="6"/>
      <c r="Q113" s="93"/>
      <c r="R113" s="52"/>
      <c r="S113" s="30"/>
      <c r="T113" s="30"/>
      <c r="U113" s="30"/>
      <c r="V113" s="33"/>
      <c r="W113" s="32"/>
      <c r="X113" s="77"/>
    </row>
    <row x14ac:dyDescent="0.25" r="114" customHeight="1" ht="18">
      <c r="A114" s="6"/>
      <c r="B114" s="93"/>
      <c r="C114" s="52"/>
      <c r="D114" s="84">
        <v>974.283</v>
      </c>
      <c r="E114" s="85">
        <v>1.12475</v>
      </c>
      <c r="F114" s="86">
        <v>918.677</v>
      </c>
      <c r="G114" s="6"/>
      <c r="H114" s="93"/>
      <c r="I114" s="52"/>
      <c r="J114" s="6"/>
      <c r="K114" s="93"/>
      <c r="L114" s="52"/>
      <c r="M114" s="84">
        <v>974.935</v>
      </c>
      <c r="N114" s="85">
        <v>1.15378</v>
      </c>
      <c r="O114" s="86">
        <v>941.754</v>
      </c>
      <c r="P114" s="6"/>
      <c r="Q114" s="93"/>
      <c r="R114" s="52"/>
      <c r="S114" s="30"/>
      <c r="T114" s="30"/>
      <c r="U114" s="30"/>
      <c r="V114" s="33"/>
      <c r="W114" s="32"/>
      <c r="X114" s="77"/>
    </row>
    <row x14ac:dyDescent="0.25" r="115" customHeight="1" ht="18">
      <c r="A115" s="6"/>
      <c r="B115" s="93"/>
      <c r="C115" s="52"/>
      <c r="D115" s="84">
        <v>1031.88</v>
      </c>
      <c r="E115" s="85">
        <v>1.15301</v>
      </c>
      <c r="F115" s="86">
        <v>889.184</v>
      </c>
      <c r="G115" s="6"/>
      <c r="H115" s="93"/>
      <c r="I115" s="52"/>
      <c r="J115" s="6"/>
      <c r="K115" s="93"/>
      <c r="L115" s="52"/>
      <c r="M115" s="84">
        <v>1032.56</v>
      </c>
      <c r="N115" s="85">
        <v>1.18138</v>
      </c>
      <c r="O115" s="86">
        <v>910.464</v>
      </c>
      <c r="P115" s="6"/>
      <c r="Q115" s="93"/>
      <c r="R115" s="52"/>
      <c r="S115" s="30"/>
      <c r="T115" s="30"/>
      <c r="U115" s="30"/>
      <c r="V115" s="33"/>
      <c r="W115" s="32"/>
      <c r="X115" s="77"/>
    </row>
    <row x14ac:dyDescent="0.25" r="116" customHeight="1" ht="18">
      <c r="A116" s="6"/>
      <c r="B116" s="93"/>
      <c r="C116" s="52"/>
      <c r="D116" s="84">
        <v>1650.03</v>
      </c>
      <c r="E116" s="85">
        <v>1.36593</v>
      </c>
      <c r="F116" s="86">
        <v>658.757</v>
      </c>
      <c r="G116" s="6"/>
      <c r="H116" s="93"/>
      <c r="I116" s="52"/>
      <c r="J116" s="6"/>
      <c r="K116" s="93"/>
      <c r="L116" s="52"/>
      <c r="M116" s="84">
        <v>1651.13</v>
      </c>
      <c r="N116" s="85">
        <v>1.38515</v>
      </c>
      <c r="O116" s="86">
        <v>667.583</v>
      </c>
      <c r="P116" s="6"/>
      <c r="Q116" s="93"/>
      <c r="R116" s="52"/>
      <c r="S116" s="30"/>
      <c r="T116" s="30"/>
      <c r="U116" s="30"/>
      <c r="V116" s="33"/>
      <c r="W116" s="32"/>
      <c r="X116" s="77"/>
    </row>
    <row x14ac:dyDescent="0.25" r="117" customHeight="1" ht="18">
      <c r="A117" s="6"/>
      <c r="B117" s="93"/>
      <c r="C117" s="52"/>
      <c r="D117" s="84">
        <v>2886.22</v>
      </c>
      <c r="E117" s="85">
        <v>1.54661</v>
      </c>
      <c r="F117" s="86">
        <v>426.425</v>
      </c>
      <c r="G117" s="6"/>
      <c r="H117" s="93"/>
      <c r="I117" s="52"/>
      <c r="J117" s="6"/>
      <c r="K117" s="93"/>
      <c r="L117" s="52"/>
      <c r="M117" s="84">
        <v>2888.11</v>
      </c>
      <c r="N117" s="85">
        <v>1.55586</v>
      </c>
      <c r="O117" s="86">
        <v>428.692</v>
      </c>
      <c r="P117" s="6"/>
      <c r="Q117" s="93"/>
      <c r="R117" s="52"/>
      <c r="S117" s="30"/>
      <c r="T117" s="30"/>
      <c r="U117" s="30"/>
      <c r="V117" s="33"/>
      <c r="W117" s="32"/>
      <c r="X117" s="77"/>
    </row>
    <row x14ac:dyDescent="0.25" r="118" customHeight="1" ht="18">
      <c r="A118" s="6"/>
      <c r="B118" s="93"/>
      <c r="C118" s="52"/>
      <c r="D118" s="84">
        <v>3499.19</v>
      </c>
      <c r="E118" s="85">
        <v>1.59331</v>
      </c>
      <c r="F118" s="86">
        <v>362.346</v>
      </c>
      <c r="G118" s="6"/>
      <c r="H118" s="93"/>
      <c r="I118" s="52"/>
      <c r="J118" s="6"/>
      <c r="K118" s="93"/>
      <c r="L118" s="52"/>
      <c r="M118" s="84">
        <v>3501.38</v>
      </c>
      <c r="N118" s="85">
        <v>1.60074</v>
      </c>
      <c r="O118" s="86">
        <v>363.807</v>
      </c>
      <c r="P118" s="6"/>
      <c r="Q118" s="93"/>
      <c r="R118" s="52"/>
      <c r="S118" s="30"/>
      <c r="T118" s="30"/>
      <c r="U118" s="30"/>
      <c r="V118" s="33"/>
      <c r="W118" s="32"/>
      <c r="X118" s="77"/>
    </row>
    <row x14ac:dyDescent="0.25" r="119" customHeight="1" ht="18">
      <c r="A119" s="6"/>
      <c r="B119" s="93"/>
      <c r="C119" s="52"/>
      <c r="D119" s="84">
        <v>5950.83</v>
      </c>
      <c r="E119" s="85">
        <v>1.70403</v>
      </c>
      <c r="F119" s="86">
        <v>227.871</v>
      </c>
      <c r="G119" s="6"/>
      <c r="H119" s="93"/>
      <c r="I119" s="52"/>
      <c r="J119" s="6"/>
      <c r="K119" s="93"/>
      <c r="L119" s="52"/>
      <c r="M119" s="84">
        <v>5954.82</v>
      </c>
      <c r="N119" s="85">
        <v>1.70908</v>
      </c>
      <c r="O119" s="86">
        <v>228.393</v>
      </c>
      <c r="P119" s="6"/>
      <c r="Q119" s="93"/>
      <c r="R119" s="52"/>
      <c r="S119" s="30"/>
      <c r="T119" s="30"/>
      <c r="U119" s="30"/>
      <c r="V119" s="33"/>
      <c r="W119" s="32"/>
      <c r="X119" s="77"/>
    </row>
    <row x14ac:dyDescent="0.25" r="120" customHeight="1" ht="18">
      <c r="A120" s="6"/>
      <c r="B120" s="93"/>
      <c r="C120" s="52"/>
      <c r="D120" s="84">
        <v>8418.4</v>
      </c>
      <c r="E120" s="85">
        <v>1.77365</v>
      </c>
      <c r="F120" s="86">
        <v>167.66</v>
      </c>
      <c r="G120" s="6"/>
      <c r="H120" s="93"/>
      <c r="I120" s="52"/>
      <c r="J120" s="6"/>
      <c r="K120" s="93"/>
      <c r="L120" s="52"/>
      <c r="M120" s="84">
        <v>8423.65</v>
      </c>
      <c r="N120" s="85">
        <v>1.77829</v>
      </c>
      <c r="O120" s="86">
        <v>167.993</v>
      </c>
      <c r="P120" s="6"/>
      <c r="Q120" s="93"/>
      <c r="R120" s="52"/>
      <c r="S120" s="30"/>
      <c r="T120" s="30"/>
      <c r="U120" s="30"/>
      <c r="V120" s="33"/>
      <c r="W120" s="32"/>
      <c r="X120" s="77"/>
    </row>
    <row x14ac:dyDescent="0.25" r="121" customHeight="1" ht="18">
      <c r="A121" s="6"/>
      <c r="B121" s="93"/>
      <c r="C121" s="52"/>
      <c r="D121" s="84">
        <v>10875.2</v>
      </c>
      <c r="E121" s="85">
        <v>1.82661</v>
      </c>
      <c r="F121" s="86">
        <v>133.659</v>
      </c>
      <c r="G121" s="6"/>
      <c r="H121" s="93"/>
      <c r="I121" s="52"/>
      <c r="J121" s="6"/>
      <c r="K121" s="93"/>
      <c r="L121" s="52"/>
      <c r="M121" s="84">
        <v>10882.2</v>
      </c>
      <c r="N121" s="85">
        <v>1.83143</v>
      </c>
      <c r="O121" s="86">
        <v>133.925</v>
      </c>
      <c r="P121" s="6"/>
      <c r="Q121" s="93"/>
      <c r="R121" s="52"/>
      <c r="S121" s="30"/>
      <c r="T121" s="30"/>
      <c r="U121" s="30"/>
      <c r="V121" s="33"/>
      <c r="W121" s="32"/>
      <c r="X121" s="77"/>
    </row>
    <row x14ac:dyDescent="0.25" r="122" customHeight="1" ht="18">
      <c r="A122" s="6"/>
      <c r="B122" s="93"/>
      <c r="C122" s="52"/>
      <c r="D122" s="84">
        <v>15794.3</v>
      </c>
      <c r="E122" s="85">
        <v>1.9101</v>
      </c>
      <c r="F122" s="86">
        <v>96.2383</v>
      </c>
      <c r="G122" s="6"/>
      <c r="H122" s="93"/>
      <c r="I122" s="52"/>
      <c r="J122" s="6"/>
      <c r="K122" s="93"/>
      <c r="L122" s="52"/>
      <c r="M122" s="84">
        <v>15804.3</v>
      </c>
      <c r="N122" s="85">
        <v>1.91494</v>
      </c>
      <c r="O122" s="86">
        <v>96.4202</v>
      </c>
      <c r="P122" s="6"/>
      <c r="Q122" s="93"/>
      <c r="R122" s="52"/>
      <c r="S122" s="30"/>
      <c r="T122" s="30"/>
      <c r="U122" s="30"/>
      <c r="V122" s="33"/>
      <c r="W122" s="32"/>
      <c r="X122" s="77"/>
    </row>
    <row x14ac:dyDescent="0.25" r="123" customHeight="1" ht="18">
      <c r="A123" s="55"/>
      <c r="B123" s="94"/>
      <c r="C123" s="56"/>
      <c r="D123" s="87">
        <v>20712.8</v>
      </c>
      <c r="E123" s="88">
        <v>1.97425</v>
      </c>
      <c r="F123" s="89">
        <v>75.8495</v>
      </c>
      <c r="G123" s="55"/>
      <c r="H123" s="94"/>
      <c r="I123" s="56"/>
      <c r="J123" s="55"/>
      <c r="K123" s="94"/>
      <c r="L123" s="56"/>
      <c r="M123" s="87">
        <v>20726.2</v>
      </c>
      <c r="N123" s="88">
        <v>1.97896</v>
      </c>
      <c r="O123" s="89">
        <v>75.9814</v>
      </c>
      <c r="P123" s="55"/>
      <c r="Q123" s="94"/>
      <c r="R123" s="56"/>
      <c r="S123" s="30"/>
      <c r="T123" s="30"/>
      <c r="U123" s="30"/>
      <c r="V123" s="33"/>
      <c r="W123" s="32"/>
      <c r="X123" s="77"/>
    </row>
    <row x14ac:dyDescent="0.25" r="124" customHeight="1" ht="18">
      <c r="A124" s="33"/>
      <c r="B124" s="32"/>
      <c r="C124" s="77"/>
      <c r="D124" s="90"/>
      <c r="E124" s="32"/>
      <c r="F124" s="77"/>
      <c r="G124" s="33"/>
      <c r="H124" s="32"/>
      <c r="I124" s="77"/>
      <c r="J124" s="33"/>
      <c r="K124" s="32"/>
      <c r="L124" s="77"/>
      <c r="M124" s="33"/>
      <c r="N124" s="32"/>
      <c r="O124" s="77"/>
      <c r="P124" s="33"/>
      <c r="Q124" s="32"/>
      <c r="R124" s="77"/>
      <c r="S124" s="30"/>
      <c r="T124" s="30"/>
      <c r="U124" s="30"/>
      <c r="V124" s="33"/>
      <c r="W124" s="32"/>
      <c r="X124" s="77"/>
    </row>
    <row x14ac:dyDescent="0.25" r="125" customHeight="1" ht="18">
      <c r="A125" s="33"/>
      <c r="B125" s="32"/>
      <c r="C125" s="77"/>
      <c r="D125" s="90"/>
      <c r="E125" s="32"/>
      <c r="F125" s="77"/>
      <c r="G125" s="33"/>
      <c r="H125" s="32"/>
      <c r="I125" s="77"/>
      <c r="J125" s="33"/>
      <c r="K125" s="32"/>
      <c r="L125" s="77"/>
      <c r="M125" s="33"/>
      <c r="N125" s="32"/>
      <c r="O125" s="77"/>
      <c r="P125" s="33"/>
      <c r="Q125" s="32"/>
      <c r="R125" s="77"/>
      <c r="S125" s="30"/>
      <c r="T125" s="30"/>
      <c r="U125" s="30"/>
      <c r="V125" s="33"/>
      <c r="W125" s="32"/>
      <c r="X125" s="77"/>
    </row>
    <row x14ac:dyDescent="0.25" r="126" customHeight="1" ht="18">
      <c r="A126" s="33"/>
      <c r="B126" s="32"/>
      <c r="C126" s="77"/>
      <c r="D126" s="90"/>
      <c r="E126" s="32"/>
      <c r="F126" s="77"/>
      <c r="G126" s="33"/>
      <c r="H126" s="32"/>
      <c r="I126" s="77"/>
      <c r="J126" s="33"/>
      <c r="K126" s="32"/>
      <c r="L126" s="77"/>
      <c r="M126" s="33"/>
      <c r="N126" s="32"/>
      <c r="O126" s="77"/>
      <c r="P126" s="33"/>
      <c r="Q126" s="32"/>
      <c r="R126" s="77"/>
      <c r="S126" s="30"/>
      <c r="T126" s="30"/>
      <c r="U126" s="30"/>
      <c r="V126" s="33"/>
      <c r="W126" s="32"/>
      <c r="X126" s="77"/>
    </row>
    <row x14ac:dyDescent="0.25" r="127" customHeight="1" ht="18">
      <c r="A127" s="33"/>
      <c r="B127" s="32"/>
      <c r="C127" s="77"/>
      <c r="D127" s="90"/>
      <c r="E127" s="32"/>
      <c r="F127" s="77"/>
      <c r="G127" s="33"/>
      <c r="H127" s="32"/>
      <c r="I127" s="77"/>
      <c r="J127" s="33"/>
      <c r="K127" s="32"/>
      <c r="L127" s="77"/>
      <c r="M127" s="33"/>
      <c r="N127" s="32"/>
      <c r="O127" s="77"/>
      <c r="P127" s="33"/>
      <c r="Q127" s="32"/>
      <c r="R127" s="77"/>
      <c r="S127" s="30"/>
      <c r="T127" s="30"/>
      <c r="U127" s="30"/>
      <c r="V127" s="33"/>
      <c r="W127" s="32"/>
      <c r="X127" s="77"/>
    </row>
    <row x14ac:dyDescent="0.25" r="128" customHeight="1" ht="18">
      <c r="A128" s="33"/>
      <c r="B128" s="32"/>
      <c r="C128" s="77"/>
      <c r="D128" s="90"/>
      <c r="E128" s="32"/>
      <c r="F128" s="77"/>
      <c r="G128" s="33"/>
      <c r="H128" s="32"/>
      <c r="I128" s="77"/>
      <c r="J128" s="33"/>
      <c r="K128" s="32"/>
      <c r="L128" s="77"/>
      <c r="M128" s="33"/>
      <c r="N128" s="32"/>
      <c r="O128" s="77"/>
      <c r="P128" s="33"/>
      <c r="Q128" s="32"/>
      <c r="R128" s="77"/>
      <c r="S128" s="30"/>
      <c r="T128" s="30"/>
      <c r="U128" s="30"/>
      <c r="V128" s="33"/>
      <c r="W128" s="32"/>
      <c r="X128" s="77"/>
    </row>
    <row x14ac:dyDescent="0.25" r="129" customHeight="1" ht="18">
      <c r="A129" s="33"/>
      <c r="B129" s="32"/>
      <c r="C129" s="77"/>
      <c r="D129" s="90"/>
      <c r="E129" s="32"/>
      <c r="F129" s="77"/>
      <c r="G129" s="33"/>
      <c r="H129" s="32"/>
      <c r="I129" s="77"/>
      <c r="J129" s="33"/>
      <c r="K129" s="32"/>
      <c r="L129" s="77"/>
      <c r="M129" s="33"/>
      <c r="N129" s="32"/>
      <c r="O129" s="77"/>
      <c r="P129" s="33"/>
      <c r="Q129" s="32"/>
      <c r="R129" s="77"/>
      <c r="S129" s="30"/>
      <c r="T129" s="30"/>
      <c r="U129" s="30"/>
      <c r="V129" s="33"/>
      <c r="W129" s="32"/>
      <c r="X129" s="77"/>
    </row>
    <row x14ac:dyDescent="0.25" r="130" customHeight="1" ht="18">
      <c r="A130" s="33"/>
      <c r="B130" s="32"/>
      <c r="C130" s="77"/>
      <c r="D130" s="90"/>
      <c r="E130" s="32"/>
      <c r="F130" s="77"/>
      <c r="G130" s="33"/>
      <c r="H130" s="32"/>
      <c r="I130" s="77"/>
      <c r="J130" s="33"/>
      <c r="K130" s="32"/>
      <c r="L130" s="77"/>
      <c r="M130" s="33"/>
      <c r="N130" s="32"/>
      <c r="O130" s="77"/>
      <c r="P130" s="33"/>
      <c r="Q130" s="32"/>
      <c r="R130" s="77"/>
      <c r="S130" s="30"/>
      <c r="T130" s="30"/>
      <c r="U130" s="30"/>
      <c r="V130" s="33"/>
      <c r="W130" s="32"/>
      <c r="X130" s="77"/>
    </row>
    <row x14ac:dyDescent="0.25" r="131" customHeight="1" ht="18">
      <c r="A131" s="33"/>
      <c r="B131" s="32"/>
      <c r="C131" s="77"/>
      <c r="D131" s="90"/>
      <c r="E131" s="32"/>
      <c r="F131" s="77"/>
      <c r="G131" s="33"/>
      <c r="H131" s="32"/>
      <c r="I131" s="77"/>
      <c r="J131" s="33"/>
      <c r="K131" s="32"/>
      <c r="L131" s="77"/>
      <c r="M131" s="33"/>
      <c r="N131" s="32"/>
      <c r="O131" s="77"/>
      <c r="P131" s="33"/>
      <c r="Q131" s="32"/>
      <c r="R131" s="77"/>
      <c r="S131" s="30"/>
      <c r="T131" s="30"/>
      <c r="U131" s="30"/>
      <c r="V131" s="33"/>
      <c r="W131" s="32"/>
      <c r="X131" s="77"/>
    </row>
    <row x14ac:dyDescent="0.25" r="132" customHeight="1" ht="18">
      <c r="A132" s="33"/>
      <c r="B132" s="32"/>
      <c r="C132" s="77"/>
      <c r="D132" s="90"/>
      <c r="E132" s="32"/>
      <c r="F132" s="77"/>
      <c r="G132" s="33"/>
      <c r="H132" s="32"/>
      <c r="I132" s="77"/>
      <c r="J132" s="33"/>
      <c r="K132" s="32"/>
      <c r="L132" s="77"/>
      <c r="M132" s="33"/>
      <c r="N132" s="32"/>
      <c r="O132" s="77"/>
      <c r="P132" s="33"/>
      <c r="Q132" s="32"/>
      <c r="R132" s="77"/>
      <c r="S132" s="30"/>
      <c r="T132" s="30"/>
      <c r="U132" s="30"/>
      <c r="V132" s="33"/>
      <c r="W132" s="32"/>
      <c r="X132" s="77"/>
    </row>
    <row x14ac:dyDescent="0.25" r="133" customHeight="1" ht="18">
      <c r="A133" s="33"/>
      <c r="B133" s="32"/>
      <c r="C133" s="77"/>
      <c r="D133" s="90"/>
      <c r="E133" s="32"/>
      <c r="F133" s="77"/>
      <c r="G133" s="33"/>
      <c r="H133" s="32"/>
      <c r="I133" s="77"/>
      <c r="J133" s="33"/>
      <c r="K133" s="32"/>
      <c r="L133" s="77"/>
      <c r="M133" s="33"/>
      <c r="N133" s="32"/>
      <c r="O133" s="77"/>
      <c r="P133" s="33"/>
      <c r="Q133" s="32"/>
      <c r="R133" s="77"/>
      <c r="S133" s="30"/>
      <c r="T133" s="30"/>
      <c r="U133" s="30"/>
      <c r="V133" s="33"/>
      <c r="W133" s="32"/>
      <c r="X133" s="77"/>
    </row>
    <row x14ac:dyDescent="0.25" r="134" customHeight="1" ht="18">
      <c r="A134" s="33"/>
      <c r="B134" s="32"/>
      <c r="C134" s="77"/>
      <c r="D134" s="90"/>
      <c r="E134" s="32"/>
      <c r="F134" s="77"/>
      <c r="G134" s="33"/>
      <c r="H134" s="32"/>
      <c r="I134" s="77"/>
      <c r="J134" s="33"/>
      <c r="K134" s="32"/>
      <c r="L134" s="77"/>
      <c r="M134" s="33"/>
      <c r="N134" s="32"/>
      <c r="O134" s="77"/>
      <c r="P134" s="33"/>
      <c r="Q134" s="32"/>
      <c r="R134" s="77"/>
      <c r="S134" s="30"/>
      <c r="T134" s="30"/>
      <c r="U134" s="30"/>
      <c r="V134" s="33"/>
      <c r="W134" s="32"/>
      <c r="X134" s="77"/>
    </row>
    <row x14ac:dyDescent="0.25" r="135" customHeight="1" ht="18">
      <c r="A135" s="33"/>
      <c r="B135" s="32"/>
      <c r="C135" s="77"/>
      <c r="D135" s="90"/>
      <c r="E135" s="32"/>
      <c r="F135" s="77"/>
      <c r="G135" s="33"/>
      <c r="H135" s="32"/>
      <c r="I135" s="77"/>
      <c r="J135" s="33"/>
      <c r="K135" s="32"/>
      <c r="L135" s="77"/>
      <c r="M135" s="33"/>
      <c r="N135" s="32"/>
      <c r="O135" s="77"/>
      <c r="P135" s="33"/>
      <c r="Q135" s="32"/>
      <c r="R135" s="77"/>
      <c r="S135" s="30"/>
      <c r="T135" s="30"/>
      <c r="U135" s="30"/>
      <c r="V135" s="33"/>
      <c r="W135" s="32"/>
      <c r="X135" s="77"/>
    </row>
    <row x14ac:dyDescent="0.25" r="136" customHeight="1" ht="18">
      <c r="A136" s="33"/>
      <c r="B136" s="32"/>
      <c r="C136" s="77"/>
      <c r="D136" s="90"/>
      <c r="E136" s="32"/>
      <c r="F136" s="77"/>
      <c r="G136" s="33"/>
      <c r="H136" s="32"/>
      <c r="I136" s="77"/>
      <c r="J136" s="33"/>
      <c r="K136" s="32"/>
      <c r="L136" s="77"/>
      <c r="M136" s="33"/>
      <c r="N136" s="32"/>
      <c r="O136" s="77"/>
      <c r="P136" s="33"/>
      <c r="Q136" s="32"/>
      <c r="R136" s="77"/>
      <c r="S136" s="30"/>
      <c r="T136" s="30"/>
      <c r="U136" s="30"/>
      <c r="V136" s="33"/>
      <c r="W136" s="32"/>
      <c r="X136" s="77"/>
    </row>
    <row x14ac:dyDescent="0.25" r="137" customHeight="1" ht="18">
      <c r="A137" s="33"/>
      <c r="B137" s="32"/>
      <c r="C137" s="77"/>
      <c r="D137" s="90"/>
      <c r="E137" s="32"/>
      <c r="F137" s="77"/>
      <c r="G137" s="33"/>
      <c r="H137" s="32"/>
      <c r="I137" s="77"/>
      <c r="J137" s="33"/>
      <c r="K137" s="32"/>
      <c r="L137" s="77"/>
      <c r="M137" s="33"/>
      <c r="N137" s="32"/>
      <c r="O137" s="77"/>
      <c r="P137" s="33"/>
      <c r="Q137" s="32"/>
      <c r="R137" s="77"/>
      <c r="S137" s="30"/>
      <c r="T137" s="30"/>
      <c r="U137" s="30"/>
      <c r="V137" s="33"/>
      <c r="W137" s="32"/>
      <c r="X137" s="77"/>
    </row>
    <row x14ac:dyDescent="0.25" r="138" customHeight="1" ht="18">
      <c r="A138" s="33"/>
      <c r="B138" s="32"/>
      <c r="C138" s="77"/>
      <c r="D138" s="90"/>
      <c r="E138" s="32"/>
      <c r="F138" s="77"/>
      <c r="G138" s="33"/>
      <c r="H138" s="32"/>
      <c r="I138" s="77"/>
      <c r="J138" s="33"/>
      <c r="K138" s="32"/>
      <c r="L138" s="77"/>
      <c r="M138" s="33"/>
      <c r="N138" s="32"/>
      <c r="O138" s="77"/>
      <c r="P138" s="33"/>
      <c r="Q138" s="32"/>
      <c r="R138" s="77"/>
      <c r="S138" s="30"/>
      <c r="T138" s="30"/>
      <c r="U138" s="30"/>
      <c r="V138" s="33"/>
      <c r="W138" s="32"/>
      <c r="X138" s="77"/>
    </row>
    <row x14ac:dyDescent="0.25" r="139" customHeight="1" ht="18">
      <c r="A139" s="33"/>
      <c r="B139" s="32"/>
      <c r="C139" s="77"/>
      <c r="D139" s="90"/>
      <c r="E139" s="32"/>
      <c r="F139" s="77"/>
      <c r="G139" s="33"/>
      <c r="H139" s="32"/>
      <c r="I139" s="77"/>
      <c r="J139" s="33"/>
      <c r="K139" s="32"/>
      <c r="L139" s="77"/>
      <c r="M139" s="33"/>
      <c r="N139" s="32"/>
      <c r="O139" s="77"/>
      <c r="P139" s="33"/>
      <c r="Q139" s="32"/>
      <c r="R139" s="77"/>
      <c r="S139" s="30"/>
      <c r="T139" s="30"/>
      <c r="U139" s="30"/>
      <c r="V139" s="33"/>
      <c r="W139" s="32"/>
      <c r="X139" s="77"/>
    </row>
    <row x14ac:dyDescent="0.25" r="140" customHeight="1" ht="18">
      <c r="A140" s="33"/>
      <c r="B140" s="32"/>
      <c r="C140" s="77"/>
      <c r="D140" s="90"/>
      <c r="E140" s="32"/>
      <c r="F140" s="77"/>
      <c r="G140" s="33"/>
      <c r="H140" s="32"/>
      <c r="I140" s="77"/>
      <c r="J140" s="33"/>
      <c r="K140" s="32"/>
      <c r="L140" s="77"/>
      <c r="M140" s="33"/>
      <c r="N140" s="32"/>
      <c r="O140" s="77"/>
      <c r="P140" s="33"/>
      <c r="Q140" s="32"/>
      <c r="R140" s="77"/>
      <c r="S140" s="30"/>
      <c r="T140" s="30"/>
      <c r="U140" s="30"/>
      <c r="V140" s="33"/>
      <c r="W140" s="32"/>
      <c r="X140" s="77"/>
    </row>
    <row x14ac:dyDescent="0.25" r="141" customHeight="1" ht="18">
      <c r="A141" s="33"/>
      <c r="B141" s="32"/>
      <c r="C141" s="77"/>
      <c r="D141" s="90"/>
      <c r="E141" s="32"/>
      <c r="F141" s="77"/>
      <c r="G141" s="33"/>
      <c r="H141" s="32"/>
      <c r="I141" s="77"/>
      <c r="J141" s="33"/>
      <c r="K141" s="32"/>
      <c r="L141" s="77"/>
      <c r="M141" s="33"/>
      <c r="N141" s="32"/>
      <c r="O141" s="77"/>
      <c r="P141" s="33"/>
      <c r="Q141" s="32"/>
      <c r="R141" s="77"/>
      <c r="S141" s="30"/>
      <c r="T141" s="30"/>
      <c r="U141" s="30"/>
      <c r="V141" s="33"/>
      <c r="W141" s="32"/>
      <c r="X141" s="77"/>
    </row>
    <row x14ac:dyDescent="0.25" r="142" customHeight="1" ht="18">
      <c r="A142" s="33"/>
      <c r="B142" s="32"/>
      <c r="C142" s="77"/>
      <c r="D142" s="90"/>
      <c r="E142" s="32"/>
      <c r="F142" s="77"/>
      <c r="G142" s="33"/>
      <c r="H142" s="32"/>
      <c r="I142" s="77"/>
      <c r="J142" s="33"/>
      <c r="K142" s="32"/>
      <c r="L142" s="77"/>
      <c r="M142" s="33"/>
      <c r="N142" s="32"/>
      <c r="O142" s="77"/>
      <c r="P142" s="33"/>
      <c r="Q142" s="32"/>
      <c r="R142" s="77"/>
      <c r="S142" s="30"/>
      <c r="T142" s="30"/>
      <c r="U142" s="30"/>
      <c r="V142" s="33"/>
      <c r="W142" s="32"/>
      <c r="X142" s="77"/>
    </row>
    <row x14ac:dyDescent="0.25" r="143" customHeight="1" ht="18">
      <c r="A143" s="33"/>
      <c r="B143" s="32"/>
      <c r="C143" s="77"/>
      <c r="D143" s="90"/>
      <c r="E143" s="32"/>
      <c r="F143" s="77"/>
      <c r="G143" s="33"/>
      <c r="H143" s="32"/>
      <c r="I143" s="77"/>
      <c r="J143" s="33"/>
      <c r="K143" s="32"/>
      <c r="L143" s="77"/>
      <c r="M143" s="33"/>
      <c r="N143" s="32"/>
      <c r="O143" s="77"/>
      <c r="P143" s="33"/>
      <c r="Q143" s="32"/>
      <c r="R143" s="77"/>
      <c r="S143" s="30"/>
      <c r="T143" s="30"/>
      <c r="U143" s="30"/>
      <c r="V143" s="33"/>
      <c r="W143" s="32"/>
      <c r="X143" s="77"/>
    </row>
    <row x14ac:dyDescent="0.25" r="144" customHeight="1" ht="18">
      <c r="A144" s="33"/>
      <c r="B144" s="32"/>
      <c r="C144" s="77"/>
      <c r="D144" s="90"/>
      <c r="E144" s="32"/>
      <c r="F144" s="77"/>
      <c r="G144" s="33"/>
      <c r="H144" s="32"/>
      <c r="I144" s="77"/>
      <c r="J144" s="33"/>
      <c r="K144" s="32"/>
      <c r="L144" s="77"/>
      <c r="M144" s="33"/>
      <c r="N144" s="32"/>
      <c r="O144" s="77"/>
      <c r="P144" s="33"/>
      <c r="Q144" s="32"/>
      <c r="R144" s="77"/>
      <c r="S144" s="30"/>
      <c r="T144" s="30"/>
      <c r="U144" s="30"/>
      <c r="V144" s="33"/>
      <c r="W144" s="32"/>
      <c r="X144" s="77"/>
    </row>
    <row x14ac:dyDescent="0.25" r="145" customHeight="1" ht="18">
      <c r="A145" s="33"/>
      <c r="B145" s="32"/>
      <c r="C145" s="77"/>
      <c r="D145" s="90"/>
      <c r="E145" s="32"/>
      <c r="F145" s="77"/>
      <c r="G145" s="33"/>
      <c r="H145" s="32"/>
      <c r="I145" s="77"/>
      <c r="J145" s="33"/>
      <c r="K145" s="32"/>
      <c r="L145" s="77"/>
      <c r="M145" s="33"/>
      <c r="N145" s="32"/>
      <c r="O145" s="77"/>
      <c r="P145" s="33"/>
      <c r="Q145" s="32"/>
      <c r="R145" s="77"/>
      <c r="S145" s="30"/>
      <c r="T145" s="30"/>
      <c r="U145" s="30"/>
      <c r="V145" s="33"/>
      <c r="W145" s="32"/>
      <c r="X145" s="77"/>
    </row>
    <row x14ac:dyDescent="0.25" r="146" customHeight="1" ht="18">
      <c r="A146" s="33"/>
      <c r="B146" s="32"/>
      <c r="C146" s="77"/>
      <c r="D146" s="90"/>
      <c r="E146" s="32"/>
      <c r="F146" s="77"/>
      <c r="G146" s="33"/>
      <c r="H146" s="32"/>
      <c r="I146" s="77"/>
      <c r="J146" s="33"/>
      <c r="K146" s="32"/>
      <c r="L146" s="77"/>
      <c r="M146" s="33"/>
      <c r="N146" s="32"/>
      <c r="O146" s="77"/>
      <c r="P146" s="33"/>
      <c r="Q146" s="32"/>
      <c r="R146" s="77"/>
      <c r="S146" s="30"/>
      <c r="T146" s="30"/>
      <c r="U146" s="30"/>
      <c r="V146" s="33"/>
      <c r="W146" s="32"/>
      <c r="X146" s="77"/>
    </row>
    <row x14ac:dyDescent="0.25" r="147" customHeight="1" ht="18">
      <c r="A147" s="33"/>
      <c r="B147" s="32"/>
      <c r="C147" s="77"/>
      <c r="D147" s="90"/>
      <c r="E147" s="32"/>
      <c r="F147" s="77"/>
      <c r="G147" s="33"/>
      <c r="H147" s="32"/>
      <c r="I147" s="77"/>
      <c r="J147" s="33"/>
      <c r="K147" s="32"/>
      <c r="L147" s="77"/>
      <c r="M147" s="33"/>
      <c r="N147" s="32"/>
      <c r="O147" s="77"/>
      <c r="P147" s="33"/>
      <c r="Q147" s="32"/>
      <c r="R147" s="77"/>
      <c r="S147" s="30"/>
      <c r="T147" s="30"/>
      <c r="U147" s="30"/>
      <c r="V147" s="33"/>
      <c r="W147" s="32"/>
      <c r="X147" s="77"/>
    </row>
    <row x14ac:dyDescent="0.25" r="148" customHeight="1" ht="18">
      <c r="A148" s="33"/>
      <c r="B148" s="32"/>
      <c r="C148" s="77"/>
      <c r="D148" s="90"/>
      <c r="E148" s="32"/>
      <c r="F148" s="77"/>
      <c r="G148" s="33"/>
      <c r="H148" s="32"/>
      <c r="I148" s="77"/>
      <c r="J148" s="33"/>
      <c r="K148" s="32"/>
      <c r="L148" s="77"/>
      <c r="M148" s="33"/>
      <c r="N148" s="32"/>
      <c r="O148" s="77"/>
      <c r="P148" s="33"/>
      <c r="Q148" s="32"/>
      <c r="R148" s="77"/>
      <c r="S148" s="30"/>
      <c r="T148" s="30"/>
      <c r="U148" s="30"/>
      <c r="V148" s="33"/>
      <c r="W148" s="32"/>
      <c r="X148" s="77"/>
    </row>
    <row x14ac:dyDescent="0.25" r="149" customHeight="1" ht="18">
      <c r="A149" s="33"/>
      <c r="B149" s="32"/>
      <c r="C149" s="77"/>
      <c r="D149" s="90"/>
      <c r="E149" s="32"/>
      <c r="F149" s="77"/>
      <c r="G149" s="33"/>
      <c r="H149" s="32"/>
      <c r="I149" s="77"/>
      <c r="J149" s="33"/>
      <c r="K149" s="32"/>
      <c r="L149" s="77"/>
      <c r="M149" s="33"/>
      <c r="N149" s="32"/>
      <c r="O149" s="77"/>
      <c r="P149" s="33"/>
      <c r="Q149" s="32"/>
      <c r="R149" s="77"/>
      <c r="S149" s="30"/>
      <c r="T149" s="30"/>
      <c r="U149" s="30"/>
      <c r="V149" s="33"/>
      <c r="W149" s="32"/>
      <c r="X149" s="77"/>
    </row>
    <row x14ac:dyDescent="0.25" r="150" customHeight="1" ht="18">
      <c r="A150" s="33"/>
      <c r="B150" s="32"/>
      <c r="C150" s="77"/>
      <c r="D150" s="90"/>
      <c r="E150" s="32"/>
      <c r="F150" s="77"/>
      <c r="G150" s="33"/>
      <c r="H150" s="32"/>
      <c r="I150" s="77"/>
      <c r="J150" s="33"/>
      <c r="K150" s="32"/>
      <c r="L150" s="77"/>
      <c r="M150" s="33"/>
      <c r="N150" s="32"/>
      <c r="O150" s="77"/>
      <c r="P150" s="33"/>
      <c r="Q150" s="32"/>
      <c r="R150" s="77"/>
      <c r="S150" s="30"/>
      <c r="T150" s="30"/>
      <c r="U150" s="30"/>
      <c r="V150" s="33"/>
      <c r="W150" s="32"/>
      <c r="X150" s="77"/>
    </row>
    <row x14ac:dyDescent="0.25" r="151" customHeight="1" ht="18">
      <c r="A151" s="33"/>
      <c r="B151" s="32"/>
      <c r="C151" s="77"/>
      <c r="D151" s="90"/>
      <c r="E151" s="32"/>
      <c r="F151" s="77"/>
      <c r="G151" s="33"/>
      <c r="H151" s="32"/>
      <c r="I151" s="77"/>
      <c r="J151" s="33"/>
      <c r="K151" s="32"/>
      <c r="L151" s="77"/>
      <c r="M151" s="33"/>
      <c r="N151" s="32"/>
      <c r="O151" s="77"/>
      <c r="P151" s="33"/>
      <c r="Q151" s="32"/>
      <c r="R151" s="77"/>
      <c r="S151" s="30"/>
      <c r="T151" s="30"/>
      <c r="U151" s="30"/>
      <c r="V151" s="33"/>
      <c r="W151" s="32"/>
      <c r="X151" s="77"/>
    </row>
    <row x14ac:dyDescent="0.25" r="152" customHeight="1" ht="18">
      <c r="A152" s="33"/>
      <c r="B152" s="32"/>
      <c r="C152" s="77"/>
      <c r="D152" s="90"/>
      <c r="E152" s="32"/>
      <c r="F152" s="77"/>
      <c r="G152" s="33"/>
      <c r="H152" s="32"/>
      <c r="I152" s="77"/>
      <c r="J152" s="33"/>
      <c r="K152" s="32"/>
      <c r="L152" s="77"/>
      <c r="M152" s="33"/>
      <c r="N152" s="32"/>
      <c r="O152" s="77"/>
      <c r="P152" s="33"/>
      <c r="Q152" s="32"/>
      <c r="R152" s="77"/>
      <c r="S152" s="30"/>
      <c r="T152" s="30"/>
      <c r="U152" s="30"/>
      <c r="V152" s="33"/>
      <c r="W152" s="32"/>
      <c r="X152" s="77"/>
    </row>
    <row x14ac:dyDescent="0.25" r="153" customHeight="1" ht="18">
      <c r="A153" s="33"/>
      <c r="B153" s="32"/>
      <c r="C153" s="77"/>
      <c r="D153" s="90"/>
      <c r="E153" s="32"/>
      <c r="F153" s="77"/>
      <c r="G153" s="33"/>
      <c r="H153" s="32"/>
      <c r="I153" s="77"/>
      <c r="J153" s="33"/>
      <c r="K153" s="32"/>
      <c r="L153" s="77"/>
      <c r="M153" s="33"/>
      <c r="N153" s="32"/>
      <c r="O153" s="77"/>
      <c r="P153" s="33"/>
      <c r="Q153" s="32"/>
      <c r="R153" s="77"/>
      <c r="S153" s="30"/>
      <c r="T153" s="30"/>
      <c r="U153" s="30"/>
      <c r="V153" s="33"/>
      <c r="W153" s="32"/>
      <c r="X153" s="77"/>
    </row>
    <row x14ac:dyDescent="0.25" r="154" customHeight="1" ht="18">
      <c r="A154" s="33"/>
      <c r="B154" s="32"/>
      <c r="C154" s="77"/>
      <c r="D154" s="90"/>
      <c r="E154" s="32"/>
      <c r="F154" s="77"/>
      <c r="G154" s="33"/>
      <c r="H154" s="32"/>
      <c r="I154" s="77"/>
      <c r="J154" s="33"/>
      <c r="K154" s="32"/>
      <c r="L154" s="77"/>
      <c r="M154" s="33"/>
      <c r="N154" s="32"/>
      <c r="O154" s="77"/>
      <c r="P154" s="33"/>
      <c r="Q154" s="32"/>
      <c r="R154" s="77"/>
      <c r="S154" s="30"/>
      <c r="T154" s="30"/>
      <c r="U154" s="30"/>
      <c r="V154" s="33"/>
      <c r="W154" s="32"/>
      <c r="X154" s="77"/>
    </row>
    <row x14ac:dyDescent="0.25" r="155" customHeight="1" ht="18">
      <c r="A155" s="33"/>
      <c r="B155" s="32"/>
      <c r="C155" s="77"/>
      <c r="D155" s="90"/>
      <c r="E155" s="32"/>
      <c r="F155" s="77"/>
      <c r="G155" s="33"/>
      <c r="H155" s="32"/>
      <c r="I155" s="77"/>
      <c r="J155" s="33"/>
      <c r="K155" s="32"/>
      <c r="L155" s="77"/>
      <c r="M155" s="33"/>
      <c r="N155" s="32"/>
      <c r="O155" s="77"/>
      <c r="P155" s="33"/>
      <c r="Q155" s="32"/>
      <c r="R155" s="77"/>
      <c r="S155" s="30"/>
      <c r="T155" s="30"/>
      <c r="U155" s="30"/>
      <c r="V155" s="33"/>
      <c r="W155" s="32"/>
      <c r="X155" s="77"/>
    </row>
    <row x14ac:dyDescent="0.25" r="156" customHeight="1" ht="18">
      <c r="A156" s="33"/>
      <c r="B156" s="32"/>
      <c r="C156" s="77"/>
      <c r="D156" s="90"/>
      <c r="E156" s="32"/>
      <c r="F156" s="77"/>
      <c r="G156" s="33"/>
      <c r="H156" s="32"/>
      <c r="I156" s="77"/>
      <c r="J156" s="33"/>
      <c r="K156" s="32"/>
      <c r="L156" s="77"/>
      <c r="M156" s="33"/>
      <c r="N156" s="32"/>
      <c r="O156" s="77"/>
      <c r="P156" s="33"/>
      <c r="Q156" s="32"/>
      <c r="R156" s="77"/>
      <c r="S156" s="30"/>
      <c r="T156" s="30"/>
      <c r="U156" s="30"/>
      <c r="V156" s="33"/>
      <c r="W156" s="32"/>
      <c r="X156" s="77"/>
    </row>
    <row x14ac:dyDescent="0.25" r="157" customHeight="1" ht="18">
      <c r="A157" s="33"/>
      <c r="B157" s="32"/>
      <c r="C157" s="77"/>
      <c r="D157" s="90"/>
      <c r="E157" s="32"/>
      <c r="F157" s="77"/>
      <c r="G157" s="33"/>
      <c r="H157" s="32"/>
      <c r="I157" s="77"/>
      <c r="J157" s="33"/>
      <c r="K157" s="32"/>
      <c r="L157" s="77"/>
      <c r="M157" s="33"/>
      <c r="N157" s="32"/>
      <c r="O157" s="77"/>
      <c r="P157" s="33"/>
      <c r="Q157" s="32"/>
      <c r="R157" s="77"/>
      <c r="S157" s="30"/>
      <c r="T157" s="30"/>
      <c r="U157" s="30"/>
      <c r="V157" s="33"/>
      <c r="W157" s="32"/>
      <c r="X157" s="77"/>
    </row>
    <row x14ac:dyDescent="0.25" r="158" customHeight="1" ht="18">
      <c r="A158" s="33"/>
      <c r="B158" s="32"/>
      <c r="C158" s="77"/>
      <c r="D158" s="90"/>
      <c r="E158" s="32"/>
      <c r="F158" s="77"/>
      <c r="G158" s="33"/>
      <c r="H158" s="32"/>
      <c r="I158" s="77"/>
      <c r="J158" s="33"/>
      <c r="K158" s="32"/>
      <c r="L158" s="77"/>
      <c r="M158" s="33"/>
      <c r="N158" s="32"/>
      <c r="O158" s="77"/>
      <c r="P158" s="33"/>
      <c r="Q158" s="32"/>
      <c r="R158" s="77"/>
      <c r="S158" s="30"/>
      <c r="T158" s="30"/>
      <c r="U158" s="30"/>
      <c r="V158" s="33"/>
      <c r="W158" s="32"/>
      <c r="X158" s="77"/>
    </row>
    <row x14ac:dyDescent="0.25" r="159" customHeight="1" ht="18">
      <c r="A159" s="33"/>
      <c r="B159" s="32"/>
      <c r="C159" s="77"/>
      <c r="D159" s="90"/>
      <c r="E159" s="32"/>
      <c r="F159" s="77"/>
      <c r="G159" s="33"/>
      <c r="H159" s="32"/>
      <c r="I159" s="77"/>
      <c r="J159" s="33"/>
      <c r="K159" s="32"/>
      <c r="L159" s="77"/>
      <c r="M159" s="33"/>
      <c r="N159" s="32"/>
      <c r="O159" s="77"/>
      <c r="P159" s="33"/>
      <c r="Q159" s="32"/>
      <c r="R159" s="77"/>
      <c r="S159" s="30"/>
      <c r="T159" s="30"/>
      <c r="U159" s="30"/>
      <c r="V159" s="33"/>
      <c r="W159" s="32"/>
      <c r="X159" s="77"/>
    </row>
    <row x14ac:dyDescent="0.25" r="160" customHeight="1" ht="18">
      <c r="A160" s="33"/>
      <c r="B160" s="32"/>
      <c r="C160" s="77"/>
      <c r="D160" s="90"/>
      <c r="E160" s="32"/>
      <c r="F160" s="77"/>
      <c r="G160" s="33"/>
      <c r="H160" s="32"/>
      <c r="I160" s="77"/>
      <c r="J160" s="33"/>
      <c r="K160" s="32"/>
      <c r="L160" s="77"/>
      <c r="M160" s="33"/>
      <c r="N160" s="32"/>
      <c r="O160" s="77"/>
      <c r="P160" s="33"/>
      <c r="Q160" s="32"/>
      <c r="R160" s="77"/>
      <c r="S160" s="30"/>
      <c r="T160" s="30"/>
      <c r="U160" s="30"/>
      <c r="V160" s="33"/>
      <c r="W160" s="32"/>
      <c r="X160" s="77"/>
    </row>
    <row x14ac:dyDescent="0.25" r="161" customHeight="1" ht="18">
      <c r="A161" s="33"/>
      <c r="B161" s="32"/>
      <c r="C161" s="77"/>
      <c r="D161" s="90"/>
      <c r="E161" s="32"/>
      <c r="F161" s="77"/>
      <c r="G161" s="33"/>
      <c r="H161" s="32"/>
      <c r="I161" s="77"/>
      <c r="J161" s="33"/>
      <c r="K161" s="32"/>
      <c r="L161" s="77"/>
      <c r="M161" s="33"/>
      <c r="N161" s="32"/>
      <c r="O161" s="77"/>
      <c r="P161" s="33"/>
      <c r="Q161" s="32"/>
      <c r="R161" s="77"/>
      <c r="S161" s="30"/>
      <c r="T161" s="30"/>
      <c r="U161" s="30"/>
      <c r="V161" s="33"/>
      <c r="W161" s="32"/>
      <c r="X161" s="77"/>
    </row>
    <row x14ac:dyDescent="0.25" r="162" customHeight="1" ht="18">
      <c r="A162" s="33"/>
      <c r="B162" s="32"/>
      <c r="C162" s="77"/>
      <c r="D162" s="90"/>
      <c r="E162" s="32"/>
      <c r="F162" s="77"/>
      <c r="G162" s="33"/>
      <c r="H162" s="32"/>
      <c r="I162" s="77"/>
      <c r="J162" s="33"/>
      <c r="K162" s="32"/>
      <c r="L162" s="77"/>
      <c r="M162" s="33"/>
      <c r="N162" s="32"/>
      <c r="O162" s="77"/>
      <c r="P162" s="33"/>
      <c r="Q162" s="32"/>
      <c r="R162" s="77"/>
      <c r="S162" s="30"/>
      <c r="T162" s="30"/>
      <c r="U162" s="30"/>
      <c r="V162" s="33"/>
      <c r="W162" s="32"/>
      <c r="X162" s="77"/>
    </row>
    <row x14ac:dyDescent="0.25" r="163" customHeight="1" ht="18">
      <c r="A163" s="33"/>
      <c r="B163" s="32"/>
      <c r="C163" s="77"/>
      <c r="D163" s="90"/>
      <c r="E163" s="32"/>
      <c r="F163" s="77"/>
      <c r="G163" s="33"/>
      <c r="H163" s="32"/>
      <c r="I163" s="77"/>
      <c r="J163" s="33"/>
      <c r="K163" s="32"/>
      <c r="L163" s="77"/>
      <c r="M163" s="33"/>
      <c r="N163" s="32"/>
      <c r="O163" s="77"/>
      <c r="P163" s="33"/>
      <c r="Q163" s="32"/>
      <c r="R163" s="77"/>
      <c r="S163" s="30"/>
      <c r="T163" s="30"/>
      <c r="U163" s="30"/>
      <c r="V163" s="33"/>
      <c r="W163" s="32"/>
      <c r="X163" s="77"/>
    </row>
    <row x14ac:dyDescent="0.25" r="164" customHeight="1" ht="18">
      <c r="A164" s="33"/>
      <c r="B164" s="32"/>
      <c r="C164" s="77"/>
      <c r="D164" s="90"/>
      <c r="E164" s="32"/>
      <c r="F164" s="77"/>
      <c r="G164" s="33"/>
      <c r="H164" s="32"/>
      <c r="I164" s="77"/>
      <c r="J164" s="33"/>
      <c r="K164" s="32"/>
      <c r="L164" s="77"/>
      <c r="M164" s="33"/>
      <c r="N164" s="32"/>
      <c r="O164" s="77"/>
      <c r="P164" s="33"/>
      <c r="Q164" s="32"/>
      <c r="R164" s="77"/>
      <c r="S164" s="30"/>
      <c r="T164" s="30"/>
      <c r="U164" s="30"/>
      <c r="V164" s="33"/>
      <c r="W164" s="32"/>
      <c r="X164" s="77"/>
    </row>
    <row x14ac:dyDescent="0.25" r="165" customHeight="1" ht="18">
      <c r="A165" s="33"/>
      <c r="B165" s="32"/>
      <c r="C165" s="77"/>
      <c r="D165" s="90"/>
      <c r="E165" s="32"/>
      <c r="F165" s="77"/>
      <c r="G165" s="33"/>
      <c r="H165" s="32"/>
      <c r="I165" s="77"/>
      <c r="J165" s="33"/>
      <c r="K165" s="32"/>
      <c r="L165" s="77"/>
      <c r="M165" s="33"/>
      <c r="N165" s="32"/>
      <c r="O165" s="77"/>
      <c r="P165" s="33"/>
      <c r="Q165" s="32"/>
      <c r="R165" s="77"/>
      <c r="S165" s="30"/>
      <c r="T165" s="30"/>
      <c r="U165" s="30"/>
      <c r="V165" s="33"/>
      <c r="W165" s="32"/>
      <c r="X165" s="77"/>
    </row>
    <row x14ac:dyDescent="0.25" r="166" customHeight="1" ht="18">
      <c r="A166" s="33"/>
      <c r="B166" s="32"/>
      <c r="C166" s="77"/>
      <c r="D166" s="90"/>
      <c r="E166" s="32"/>
      <c r="F166" s="77"/>
      <c r="G166" s="33"/>
      <c r="H166" s="32"/>
      <c r="I166" s="77"/>
      <c r="J166" s="33"/>
      <c r="K166" s="32"/>
      <c r="L166" s="77"/>
      <c r="M166" s="33"/>
      <c r="N166" s="32"/>
      <c r="O166" s="77"/>
      <c r="P166" s="33"/>
      <c r="Q166" s="32"/>
      <c r="R166" s="77"/>
      <c r="S166" s="30"/>
      <c r="T166" s="30"/>
      <c r="U166" s="30"/>
      <c r="V166" s="33"/>
      <c r="W166" s="32"/>
      <c r="X166" s="77"/>
    </row>
    <row x14ac:dyDescent="0.25" r="167" customHeight="1" ht="18">
      <c r="A167" s="33"/>
      <c r="B167" s="32"/>
      <c r="C167" s="77"/>
      <c r="D167" s="90"/>
      <c r="E167" s="32"/>
      <c r="F167" s="77"/>
      <c r="G167" s="33"/>
      <c r="H167" s="32"/>
      <c r="I167" s="77"/>
      <c r="J167" s="33"/>
      <c r="K167" s="32"/>
      <c r="L167" s="77"/>
      <c r="M167" s="33"/>
      <c r="N167" s="32"/>
      <c r="O167" s="77"/>
      <c r="P167" s="33"/>
      <c r="Q167" s="32"/>
      <c r="R167" s="77"/>
      <c r="S167" s="30"/>
      <c r="T167" s="30"/>
      <c r="U167" s="30"/>
      <c r="V167" s="33"/>
      <c r="W167" s="32"/>
      <c r="X167" s="77"/>
    </row>
    <row x14ac:dyDescent="0.25" r="168" customHeight="1" ht="18">
      <c r="A168" s="33"/>
      <c r="B168" s="32"/>
      <c r="C168" s="77"/>
      <c r="D168" s="90"/>
      <c r="E168" s="32"/>
      <c r="F168" s="77"/>
      <c r="G168" s="33"/>
      <c r="H168" s="32"/>
      <c r="I168" s="77"/>
      <c r="J168" s="33"/>
      <c r="K168" s="32"/>
      <c r="L168" s="77"/>
      <c r="M168" s="33"/>
      <c r="N168" s="32"/>
      <c r="O168" s="77"/>
      <c r="P168" s="33"/>
      <c r="Q168" s="32"/>
      <c r="R168" s="77"/>
      <c r="S168" s="30"/>
      <c r="T168" s="30"/>
      <c r="U168" s="30"/>
      <c r="V168" s="33"/>
      <c r="W168" s="32"/>
      <c r="X168" s="77"/>
    </row>
    <row x14ac:dyDescent="0.25" r="169" customHeight="1" ht="18">
      <c r="A169" s="33"/>
      <c r="B169" s="32"/>
      <c r="C169" s="77"/>
      <c r="D169" s="90"/>
      <c r="E169" s="32"/>
      <c r="F169" s="77"/>
      <c r="G169" s="33"/>
      <c r="H169" s="32"/>
      <c r="I169" s="77"/>
      <c r="J169" s="33"/>
      <c r="K169" s="32"/>
      <c r="L169" s="77"/>
      <c r="M169" s="33"/>
      <c r="N169" s="32"/>
      <c r="O169" s="77"/>
      <c r="P169" s="33"/>
      <c r="Q169" s="32"/>
      <c r="R169" s="77"/>
      <c r="S169" s="30"/>
      <c r="T169" s="30"/>
      <c r="U169" s="30"/>
      <c r="V169" s="33"/>
      <c r="W169" s="32"/>
      <c r="X169" s="77"/>
    </row>
    <row x14ac:dyDescent="0.25" r="170" customHeight="1" ht="18">
      <c r="A170" s="33"/>
      <c r="B170" s="32"/>
      <c r="C170" s="77"/>
      <c r="D170" s="90"/>
      <c r="E170" s="32"/>
      <c r="F170" s="77"/>
      <c r="G170" s="33"/>
      <c r="H170" s="32"/>
      <c r="I170" s="77"/>
      <c r="J170" s="33"/>
      <c r="K170" s="32"/>
      <c r="L170" s="77"/>
      <c r="M170" s="33"/>
      <c r="N170" s="32"/>
      <c r="O170" s="77"/>
      <c r="P170" s="33"/>
      <c r="Q170" s="32"/>
      <c r="R170" s="77"/>
      <c r="S170" s="30"/>
      <c r="T170" s="30"/>
      <c r="U170" s="30"/>
      <c r="V170" s="33"/>
      <c r="W170" s="32"/>
      <c r="X170" s="77"/>
    </row>
    <row x14ac:dyDescent="0.25" r="171" customHeight="1" ht="18">
      <c r="A171" s="33"/>
      <c r="B171" s="32"/>
      <c r="C171" s="77"/>
      <c r="D171" s="90"/>
      <c r="E171" s="32"/>
      <c r="F171" s="77"/>
      <c r="G171" s="33"/>
      <c r="H171" s="32"/>
      <c r="I171" s="77"/>
      <c r="J171" s="33"/>
      <c r="K171" s="32"/>
      <c r="L171" s="77"/>
      <c r="M171" s="33"/>
      <c r="N171" s="32"/>
      <c r="O171" s="77"/>
      <c r="P171" s="33"/>
      <c r="Q171" s="32"/>
      <c r="R171" s="77"/>
      <c r="S171" s="30"/>
      <c r="T171" s="30"/>
      <c r="U171" s="30"/>
      <c r="V171" s="33"/>
      <c r="W171" s="32"/>
      <c r="X171" s="77"/>
    </row>
    <row x14ac:dyDescent="0.25" r="172" customHeight="1" ht="18">
      <c r="A172" s="33"/>
      <c r="B172" s="32"/>
      <c r="C172" s="77"/>
      <c r="D172" s="90"/>
      <c r="E172" s="32"/>
      <c r="F172" s="77"/>
      <c r="G172" s="33"/>
      <c r="H172" s="32"/>
      <c r="I172" s="77"/>
      <c r="J172" s="33"/>
      <c r="K172" s="32"/>
      <c r="L172" s="77"/>
      <c r="M172" s="33"/>
      <c r="N172" s="32"/>
      <c r="O172" s="77"/>
      <c r="P172" s="33"/>
      <c r="Q172" s="32"/>
      <c r="R172" s="77"/>
      <c r="S172" s="30"/>
      <c r="T172" s="30"/>
      <c r="U172" s="30"/>
      <c r="V172" s="33"/>
      <c r="W172" s="32"/>
      <c r="X172" s="77"/>
    </row>
    <row x14ac:dyDescent="0.25" r="173" customHeight="1" ht="18">
      <c r="A173" s="33"/>
      <c r="B173" s="32"/>
      <c r="C173" s="77"/>
      <c r="D173" s="90"/>
      <c r="E173" s="32"/>
      <c r="F173" s="77"/>
      <c r="G173" s="33"/>
      <c r="H173" s="32"/>
      <c r="I173" s="77"/>
      <c r="J173" s="33"/>
      <c r="K173" s="32"/>
      <c r="L173" s="77"/>
      <c r="M173" s="33"/>
      <c r="N173" s="32"/>
      <c r="O173" s="77"/>
      <c r="P173" s="33"/>
      <c r="Q173" s="32"/>
      <c r="R173" s="77"/>
      <c r="S173" s="30"/>
      <c r="T173" s="30"/>
      <c r="U173" s="30"/>
      <c r="V173" s="33"/>
      <c r="W173" s="32"/>
      <c r="X173" s="77"/>
    </row>
    <row x14ac:dyDescent="0.25" r="174" customHeight="1" ht="18">
      <c r="A174" s="33"/>
      <c r="B174" s="32"/>
      <c r="C174" s="77"/>
      <c r="D174" s="90"/>
      <c r="E174" s="32"/>
      <c r="F174" s="77"/>
      <c r="G174" s="33"/>
      <c r="H174" s="32"/>
      <c r="I174" s="77"/>
      <c r="J174" s="33"/>
      <c r="K174" s="32"/>
      <c r="L174" s="77"/>
      <c r="M174" s="33"/>
      <c r="N174" s="32"/>
      <c r="O174" s="77"/>
      <c r="P174" s="33"/>
      <c r="Q174" s="32"/>
      <c r="R174" s="77"/>
      <c r="S174" s="30"/>
      <c r="T174" s="30"/>
      <c r="U174" s="30"/>
      <c r="V174" s="33"/>
      <c r="W174" s="32"/>
      <c r="X174" s="77"/>
    </row>
    <row x14ac:dyDescent="0.25" r="175" customHeight="1" ht="18">
      <c r="A175" s="33"/>
      <c r="B175" s="32"/>
      <c r="C175" s="77"/>
      <c r="D175" s="90"/>
      <c r="E175" s="32"/>
      <c r="F175" s="77"/>
      <c r="G175" s="33"/>
      <c r="H175" s="32"/>
      <c r="I175" s="77"/>
      <c r="J175" s="33"/>
      <c r="K175" s="32"/>
      <c r="L175" s="77"/>
      <c r="M175" s="33"/>
      <c r="N175" s="32"/>
      <c r="O175" s="77"/>
      <c r="P175" s="33"/>
      <c r="Q175" s="32"/>
      <c r="R175" s="77"/>
      <c r="S175" s="30"/>
      <c r="T175" s="30"/>
      <c r="U175" s="30"/>
      <c r="V175" s="33"/>
      <c r="W175" s="32"/>
      <c r="X175" s="77"/>
    </row>
    <row x14ac:dyDescent="0.25" r="176" customHeight="1" ht="18">
      <c r="A176" s="33"/>
      <c r="B176" s="32"/>
      <c r="C176" s="77"/>
      <c r="D176" s="90"/>
      <c r="E176" s="32"/>
      <c r="F176" s="77"/>
      <c r="G176" s="33"/>
      <c r="H176" s="32"/>
      <c r="I176" s="77"/>
      <c r="J176" s="33"/>
      <c r="K176" s="32"/>
      <c r="L176" s="77"/>
      <c r="M176" s="33"/>
      <c r="N176" s="32"/>
      <c r="O176" s="77"/>
      <c r="P176" s="33"/>
      <c r="Q176" s="32"/>
      <c r="R176" s="77"/>
      <c r="S176" s="30"/>
      <c r="T176" s="30"/>
      <c r="U176" s="30"/>
      <c r="V176" s="33"/>
      <c r="W176" s="32"/>
      <c r="X176" s="77"/>
    </row>
    <row x14ac:dyDescent="0.25" r="177" customHeight="1" ht="18">
      <c r="A177" s="33"/>
      <c r="B177" s="32"/>
      <c r="C177" s="77"/>
      <c r="D177" s="90"/>
      <c r="E177" s="32"/>
      <c r="F177" s="77"/>
      <c r="G177" s="33"/>
      <c r="H177" s="32"/>
      <c r="I177" s="77"/>
      <c r="J177" s="33"/>
      <c r="K177" s="32"/>
      <c r="L177" s="77"/>
      <c r="M177" s="33"/>
      <c r="N177" s="32"/>
      <c r="O177" s="77"/>
      <c r="P177" s="33"/>
      <c r="Q177" s="32"/>
      <c r="R177" s="77"/>
      <c r="S177" s="30"/>
      <c r="T177" s="30"/>
      <c r="U177" s="30"/>
      <c r="V177" s="33"/>
      <c r="W177" s="32"/>
      <c r="X177" s="77"/>
    </row>
    <row x14ac:dyDescent="0.25" r="178" customHeight="1" ht="18">
      <c r="A178" s="33"/>
      <c r="B178" s="32"/>
      <c r="C178" s="77"/>
      <c r="D178" s="90"/>
      <c r="E178" s="32"/>
      <c r="F178" s="77"/>
      <c r="G178" s="33"/>
      <c r="H178" s="32"/>
      <c r="I178" s="77"/>
      <c r="J178" s="33"/>
      <c r="K178" s="32"/>
      <c r="L178" s="77"/>
      <c r="M178" s="33"/>
      <c r="N178" s="32"/>
      <c r="O178" s="77"/>
      <c r="P178" s="33"/>
      <c r="Q178" s="32"/>
      <c r="R178" s="77"/>
      <c r="S178" s="30"/>
      <c r="T178" s="30"/>
      <c r="U178" s="30"/>
      <c r="V178" s="33"/>
      <c r="W178" s="32"/>
      <c r="X178" s="77"/>
    </row>
    <row x14ac:dyDescent="0.25" r="179" customHeight="1" ht="18">
      <c r="A179" s="33"/>
      <c r="B179" s="32"/>
      <c r="C179" s="77"/>
      <c r="D179" s="90"/>
      <c r="E179" s="32"/>
      <c r="F179" s="77"/>
      <c r="G179" s="33"/>
      <c r="H179" s="32"/>
      <c r="I179" s="77"/>
      <c r="J179" s="33"/>
      <c r="K179" s="32"/>
      <c r="L179" s="77"/>
      <c r="M179" s="33"/>
      <c r="N179" s="32"/>
      <c r="O179" s="77"/>
      <c r="P179" s="33"/>
      <c r="Q179" s="32"/>
      <c r="R179" s="77"/>
      <c r="S179" s="30"/>
      <c r="T179" s="30"/>
      <c r="U179" s="30"/>
      <c r="V179" s="33"/>
      <c r="W179" s="32"/>
      <c r="X179" s="77"/>
    </row>
    <row x14ac:dyDescent="0.25" r="180" customHeight="1" ht="18">
      <c r="A180" s="33"/>
      <c r="B180" s="32"/>
      <c r="C180" s="77"/>
      <c r="D180" s="90"/>
      <c r="E180" s="32"/>
      <c r="F180" s="77"/>
      <c r="G180" s="33"/>
      <c r="H180" s="32"/>
      <c r="I180" s="77"/>
      <c r="J180" s="33"/>
      <c r="K180" s="32"/>
      <c r="L180" s="77"/>
      <c r="M180" s="33"/>
      <c r="N180" s="32"/>
      <c r="O180" s="77"/>
      <c r="P180" s="33"/>
      <c r="Q180" s="32"/>
      <c r="R180" s="77"/>
      <c r="S180" s="30"/>
      <c r="T180" s="30"/>
      <c r="U180" s="30"/>
      <c r="V180" s="33"/>
      <c r="W180" s="32"/>
      <c r="X180" s="77"/>
    </row>
    <row x14ac:dyDescent="0.25" r="181" customHeight="1" ht="18">
      <c r="A181" s="33"/>
      <c r="B181" s="32"/>
      <c r="C181" s="77"/>
      <c r="D181" s="90"/>
      <c r="E181" s="32"/>
      <c r="F181" s="77"/>
      <c r="G181" s="33"/>
      <c r="H181" s="32"/>
      <c r="I181" s="77"/>
      <c r="J181" s="33"/>
      <c r="K181" s="32"/>
      <c r="L181" s="77"/>
      <c r="M181" s="33"/>
      <c r="N181" s="32"/>
      <c r="O181" s="77"/>
      <c r="P181" s="33"/>
      <c r="Q181" s="32"/>
      <c r="R181" s="77"/>
      <c r="S181" s="30"/>
      <c r="T181" s="30"/>
      <c r="U181" s="30"/>
      <c r="V181" s="33"/>
      <c r="W181" s="32"/>
      <c r="X181" s="77"/>
    </row>
    <row x14ac:dyDescent="0.25" r="182" customHeight="1" ht="18">
      <c r="A182" s="33"/>
      <c r="B182" s="32"/>
      <c r="C182" s="77"/>
      <c r="D182" s="90"/>
      <c r="E182" s="32"/>
      <c r="F182" s="77"/>
      <c r="G182" s="33"/>
      <c r="H182" s="32"/>
      <c r="I182" s="77"/>
      <c r="J182" s="33"/>
      <c r="K182" s="32"/>
      <c r="L182" s="77"/>
      <c r="M182" s="33"/>
      <c r="N182" s="32"/>
      <c r="O182" s="77"/>
      <c r="P182" s="33"/>
      <c r="Q182" s="32"/>
      <c r="R182" s="77"/>
      <c r="S182" s="30"/>
      <c r="T182" s="30"/>
      <c r="U182" s="30"/>
      <c r="V182" s="33"/>
      <c r="W182" s="32"/>
      <c r="X182" s="77"/>
    </row>
    <row x14ac:dyDescent="0.25" r="183" customHeight="1" ht="18">
      <c r="A183" s="33"/>
      <c r="B183" s="32"/>
      <c r="C183" s="77"/>
      <c r="D183" s="90"/>
      <c r="E183" s="32"/>
      <c r="F183" s="77"/>
      <c r="G183" s="33"/>
      <c r="H183" s="32"/>
      <c r="I183" s="77"/>
      <c r="J183" s="33"/>
      <c r="K183" s="32"/>
      <c r="L183" s="77"/>
      <c r="M183" s="33"/>
      <c r="N183" s="32"/>
      <c r="O183" s="77"/>
      <c r="P183" s="33"/>
      <c r="Q183" s="32"/>
      <c r="R183" s="77"/>
      <c r="S183" s="30"/>
      <c r="T183" s="30"/>
      <c r="U183" s="30"/>
      <c r="V183" s="33"/>
      <c r="W183" s="32"/>
      <c r="X183" s="77"/>
    </row>
    <row x14ac:dyDescent="0.25" r="184" customHeight="1" ht="18">
      <c r="A184" s="33"/>
      <c r="B184" s="32"/>
      <c r="C184" s="77"/>
      <c r="D184" s="33"/>
      <c r="E184" s="32"/>
      <c r="F184" s="77"/>
      <c r="G184" s="33"/>
      <c r="H184" s="32"/>
      <c r="I184" s="77"/>
      <c r="J184" s="33"/>
      <c r="K184" s="32"/>
      <c r="L184" s="77"/>
      <c r="M184" s="33"/>
      <c r="N184" s="32"/>
      <c r="O184" s="77"/>
      <c r="P184" s="33"/>
      <c r="Q184" s="32"/>
      <c r="R184" s="77"/>
      <c r="S184" s="30"/>
      <c r="T184" s="30"/>
      <c r="U184" s="30"/>
      <c r="V184" s="33"/>
      <c r="W184" s="32"/>
      <c r="X184" s="77"/>
    </row>
    <row x14ac:dyDescent="0.25" r="185" customHeight="1" ht="18">
      <c r="A185" s="33"/>
      <c r="B185" s="32"/>
      <c r="C185" s="77"/>
      <c r="D185" s="33"/>
      <c r="E185" s="32"/>
      <c r="F185" s="77"/>
      <c r="G185" s="33"/>
      <c r="H185" s="32"/>
      <c r="I185" s="77"/>
      <c r="J185" s="33"/>
      <c r="K185" s="32"/>
      <c r="L185" s="77"/>
      <c r="M185" s="33"/>
      <c r="N185" s="32"/>
      <c r="O185" s="77"/>
      <c r="P185" s="33"/>
      <c r="Q185" s="32"/>
      <c r="R185" s="77"/>
      <c r="S185" s="30"/>
      <c r="T185" s="30"/>
      <c r="U185" s="30"/>
      <c r="V185" s="33"/>
      <c r="W185" s="32"/>
      <c r="X185" s="77"/>
    </row>
    <row x14ac:dyDescent="0.25" r="186" customHeight="1" ht="18">
      <c r="A186" s="33"/>
      <c r="B186" s="32"/>
      <c r="C186" s="77"/>
      <c r="D186" s="33"/>
      <c r="E186" s="32"/>
      <c r="F186" s="77"/>
      <c r="G186" s="33"/>
      <c r="H186" s="32"/>
      <c r="I186" s="77"/>
      <c r="J186" s="33"/>
      <c r="K186" s="32"/>
      <c r="L186" s="77"/>
      <c r="M186" s="33"/>
      <c r="N186" s="32"/>
      <c r="O186" s="77"/>
      <c r="P186" s="33"/>
      <c r="Q186" s="32"/>
      <c r="R186" s="77"/>
      <c r="S186" s="30"/>
      <c r="T186" s="30"/>
      <c r="U186" s="30"/>
      <c r="V186" s="33"/>
      <c r="W186" s="32"/>
      <c r="X186" s="77"/>
    </row>
    <row x14ac:dyDescent="0.25" r="187" customHeight="1" ht="18">
      <c r="A187" s="33"/>
      <c r="B187" s="32"/>
      <c r="C187" s="77"/>
      <c r="D187" s="57"/>
      <c r="E187" s="57"/>
      <c r="F187" s="77"/>
      <c r="G187" s="33"/>
      <c r="H187" s="32"/>
      <c r="I187" s="77"/>
      <c r="J187" s="33"/>
      <c r="K187" s="32"/>
      <c r="L187" s="77"/>
      <c r="M187" s="33"/>
      <c r="N187" s="32"/>
      <c r="O187" s="77"/>
      <c r="P187" s="33"/>
      <c r="Q187" s="32"/>
      <c r="R187" s="77"/>
      <c r="S187" s="30"/>
      <c r="T187" s="30"/>
      <c r="U187" s="30"/>
      <c r="V187" s="33"/>
      <c r="W187" s="32"/>
      <c r="X187" s="77"/>
    </row>
    <row x14ac:dyDescent="0.25" r="188" customHeight="1" ht="18">
      <c r="A188" s="33"/>
      <c r="B188" s="32"/>
      <c r="C188" s="77"/>
      <c r="D188" s="57"/>
      <c r="E188" s="57"/>
      <c r="F188" s="77"/>
      <c r="G188" s="33"/>
      <c r="H188" s="32"/>
      <c r="I188" s="77"/>
      <c r="J188" s="33"/>
      <c r="K188" s="32"/>
      <c r="L188" s="77"/>
      <c r="M188" s="33"/>
      <c r="N188" s="32"/>
      <c r="O188" s="77"/>
      <c r="P188" s="33"/>
      <c r="Q188" s="32"/>
      <c r="R188" s="77"/>
      <c r="S188" s="30"/>
      <c r="T188" s="30"/>
      <c r="U188" s="30"/>
      <c r="V188" s="33"/>
      <c r="W188" s="32"/>
      <c r="X188" s="77"/>
    </row>
    <row x14ac:dyDescent="0.25" r="189" customHeight="1" ht="18">
      <c r="A189" s="33"/>
      <c r="B189" s="32"/>
      <c r="C189" s="77"/>
      <c r="D189" s="57"/>
      <c r="E189" s="57"/>
      <c r="F189" s="77"/>
      <c r="G189" s="33"/>
      <c r="H189" s="32"/>
      <c r="I189" s="77"/>
      <c r="J189" s="33"/>
      <c r="K189" s="32"/>
      <c r="L189" s="77"/>
      <c r="M189" s="33"/>
      <c r="N189" s="32"/>
      <c r="O189" s="77"/>
      <c r="P189" s="33"/>
      <c r="Q189" s="32"/>
      <c r="R189" s="77"/>
      <c r="S189" s="30"/>
      <c r="T189" s="30"/>
      <c r="U189" s="30"/>
      <c r="V189" s="33"/>
      <c r="W189" s="32"/>
      <c r="X189" s="77"/>
    </row>
    <row x14ac:dyDescent="0.25" r="190" customHeight="1" ht="18">
      <c r="A190" s="33"/>
      <c r="B190" s="32"/>
      <c r="C190" s="77"/>
      <c r="D190" s="57"/>
      <c r="E190" s="57"/>
      <c r="F190" s="77"/>
      <c r="G190" s="33"/>
      <c r="H190" s="32"/>
      <c r="I190" s="77"/>
      <c r="J190" s="33"/>
      <c r="K190" s="32"/>
      <c r="L190" s="77"/>
      <c r="M190" s="33"/>
      <c r="N190" s="32"/>
      <c r="O190" s="77"/>
      <c r="P190" s="33"/>
      <c r="Q190" s="32"/>
      <c r="R190" s="77"/>
      <c r="S190" s="30"/>
      <c r="T190" s="30"/>
      <c r="U190" s="30"/>
      <c r="V190" s="33"/>
      <c r="W190" s="32"/>
      <c r="X190" s="77"/>
    </row>
    <row x14ac:dyDescent="0.25" r="191" customHeight="1" ht="18">
      <c r="A191" s="33"/>
      <c r="B191" s="32"/>
      <c r="C191" s="77"/>
      <c r="D191" s="57"/>
      <c r="E191" s="57"/>
      <c r="F191" s="77"/>
      <c r="G191" s="33"/>
      <c r="H191" s="32"/>
      <c r="I191" s="77"/>
      <c r="J191" s="33"/>
      <c r="K191" s="32"/>
      <c r="L191" s="77"/>
      <c r="M191" s="33"/>
      <c r="N191" s="32"/>
      <c r="O191" s="77"/>
      <c r="P191" s="33"/>
      <c r="Q191" s="32"/>
      <c r="R191" s="77"/>
      <c r="S191" s="30"/>
      <c r="T191" s="30"/>
      <c r="U191" s="30"/>
      <c r="V191" s="33"/>
      <c r="W191" s="32"/>
      <c r="X191" s="77"/>
    </row>
    <row x14ac:dyDescent="0.25" r="192" customHeight="1" ht="18">
      <c r="A192" s="33"/>
      <c r="B192" s="32"/>
      <c r="C192" s="77"/>
      <c r="D192" s="57"/>
      <c r="E192" s="57"/>
      <c r="F192" s="77"/>
      <c r="G192" s="33"/>
      <c r="H192" s="32"/>
      <c r="I192" s="77"/>
      <c r="J192" s="33"/>
      <c r="K192" s="32"/>
      <c r="L192" s="77"/>
      <c r="M192" s="33"/>
      <c r="N192" s="32"/>
      <c r="O192" s="77"/>
      <c r="P192" s="33"/>
      <c r="Q192" s="32"/>
      <c r="R192" s="77"/>
      <c r="S192" s="30"/>
      <c r="T192" s="30"/>
      <c r="U192" s="30"/>
      <c r="V192" s="33"/>
      <c r="W192" s="32"/>
      <c r="X192" s="77"/>
    </row>
    <row x14ac:dyDescent="0.25" r="193" customHeight="1" ht="18">
      <c r="A193" s="33"/>
      <c r="B193" s="32"/>
      <c r="C193" s="77"/>
      <c r="D193" s="57"/>
      <c r="E193" s="57"/>
      <c r="F193" s="77"/>
      <c r="G193" s="33"/>
      <c r="H193" s="32"/>
      <c r="I193" s="77"/>
      <c r="J193" s="33"/>
      <c r="K193" s="32"/>
      <c r="L193" s="77"/>
      <c r="M193" s="33"/>
      <c r="N193" s="32"/>
      <c r="O193" s="77"/>
      <c r="P193" s="33"/>
      <c r="Q193" s="32"/>
      <c r="R193" s="77"/>
      <c r="S193" s="30"/>
      <c r="T193" s="30"/>
      <c r="U193" s="30"/>
      <c r="V193" s="33"/>
      <c r="W193" s="32"/>
      <c r="X193" s="77"/>
    </row>
    <row x14ac:dyDescent="0.25" r="194" customHeight="1" ht="18">
      <c r="A194" s="33"/>
      <c r="B194" s="32"/>
      <c r="C194" s="77"/>
      <c r="D194" s="57"/>
      <c r="E194" s="57"/>
      <c r="F194" s="77"/>
      <c r="G194" s="33"/>
      <c r="H194" s="32"/>
      <c r="I194" s="77"/>
      <c r="J194" s="33"/>
      <c r="K194" s="32"/>
      <c r="L194" s="77"/>
      <c r="M194" s="33"/>
      <c r="N194" s="32"/>
      <c r="O194" s="77"/>
      <c r="P194" s="33"/>
      <c r="Q194" s="32"/>
      <c r="R194" s="77"/>
      <c r="S194" s="30"/>
      <c r="T194" s="30"/>
      <c r="U194" s="30"/>
      <c r="V194" s="33"/>
      <c r="W194" s="32"/>
      <c r="X194" s="77"/>
    </row>
    <row x14ac:dyDescent="0.25" r="195" customHeight="1" ht="18">
      <c r="A195" s="33"/>
      <c r="B195" s="32"/>
      <c r="C195" s="77"/>
      <c r="D195" s="57"/>
      <c r="E195" s="57"/>
      <c r="F195" s="77"/>
      <c r="G195" s="33"/>
      <c r="H195" s="32"/>
      <c r="I195" s="77"/>
      <c r="J195" s="33"/>
      <c r="K195" s="32"/>
      <c r="L195" s="77"/>
      <c r="M195" s="33"/>
      <c r="N195" s="32"/>
      <c r="O195" s="77"/>
      <c r="P195" s="33"/>
      <c r="Q195" s="32"/>
      <c r="R195" s="77"/>
      <c r="S195" s="30"/>
      <c r="T195" s="30"/>
      <c r="U195" s="30"/>
      <c r="V195" s="33"/>
      <c r="W195" s="32"/>
      <c r="X195" s="77"/>
    </row>
    <row x14ac:dyDescent="0.25" r="196" customHeight="1" ht="18">
      <c r="A196" s="33"/>
      <c r="B196" s="32"/>
      <c r="C196" s="77"/>
      <c r="D196" s="57"/>
      <c r="E196" s="57"/>
      <c r="F196" s="77"/>
      <c r="G196" s="33"/>
      <c r="H196" s="32"/>
      <c r="I196" s="77"/>
      <c r="J196" s="33"/>
      <c r="K196" s="32"/>
      <c r="L196" s="77"/>
      <c r="M196" s="33"/>
      <c r="N196" s="32"/>
      <c r="O196" s="77"/>
      <c r="P196" s="33"/>
      <c r="Q196" s="32"/>
      <c r="R196" s="77"/>
      <c r="S196" s="30"/>
      <c r="T196" s="30"/>
      <c r="U196" s="30"/>
      <c r="V196" s="33"/>
      <c r="W196" s="32"/>
      <c r="X196" s="77"/>
    </row>
    <row x14ac:dyDescent="0.25" r="197" customHeight="1" ht="18">
      <c r="A197" s="33"/>
      <c r="B197" s="32"/>
      <c r="C197" s="77"/>
      <c r="D197" s="57"/>
      <c r="E197" s="57"/>
      <c r="F197" s="77"/>
      <c r="G197" s="33"/>
      <c r="H197" s="32"/>
      <c r="I197" s="77"/>
      <c r="J197" s="33"/>
      <c r="K197" s="32"/>
      <c r="L197" s="77"/>
      <c r="M197" s="33"/>
      <c r="N197" s="32"/>
      <c r="O197" s="77"/>
      <c r="P197" s="33"/>
      <c r="Q197" s="32"/>
      <c r="R197" s="77"/>
      <c r="S197" s="30"/>
      <c r="T197" s="30"/>
      <c r="U197" s="30"/>
      <c r="V197" s="33"/>
      <c r="W197" s="32"/>
      <c r="X197" s="77"/>
    </row>
    <row x14ac:dyDescent="0.25" r="198" customHeight="1" ht="18">
      <c r="A198" s="33"/>
      <c r="B198" s="32"/>
      <c r="C198" s="77"/>
      <c r="D198" s="57"/>
      <c r="E198" s="57"/>
      <c r="F198" s="77"/>
      <c r="G198" s="33"/>
      <c r="H198" s="32"/>
      <c r="I198" s="77"/>
      <c r="J198" s="33"/>
      <c r="K198" s="32"/>
      <c r="L198" s="77"/>
      <c r="M198" s="33"/>
      <c r="N198" s="32"/>
      <c r="O198" s="77"/>
      <c r="P198" s="33"/>
      <c r="Q198" s="32"/>
      <c r="R198" s="77"/>
      <c r="S198" s="30"/>
      <c r="T198" s="30"/>
      <c r="U198" s="30"/>
      <c r="V198" s="33"/>
      <c r="W198" s="32"/>
      <c r="X198" s="77"/>
    </row>
    <row x14ac:dyDescent="0.25" r="199" customHeight="1" ht="18">
      <c r="A199" s="33"/>
      <c r="B199" s="32"/>
      <c r="C199" s="77"/>
      <c r="D199" s="57"/>
      <c r="E199" s="57"/>
      <c r="F199" s="77"/>
      <c r="G199" s="33"/>
      <c r="H199" s="32"/>
      <c r="I199" s="77"/>
      <c r="J199" s="33"/>
      <c r="K199" s="32"/>
      <c r="L199" s="77"/>
      <c r="M199" s="33"/>
      <c r="N199" s="32"/>
      <c r="O199" s="77"/>
      <c r="P199" s="33"/>
      <c r="Q199" s="32"/>
      <c r="R199" s="77"/>
      <c r="S199" s="30"/>
      <c r="T199" s="30"/>
      <c r="U199" s="30"/>
      <c r="V199" s="33"/>
      <c r="W199" s="32"/>
      <c r="X199" s="77"/>
    </row>
    <row x14ac:dyDescent="0.25" r="200" customHeight="1" ht="18">
      <c r="A200" s="33"/>
      <c r="B200" s="32"/>
      <c r="C200" s="77"/>
      <c r="D200" s="57"/>
      <c r="E200" s="57"/>
      <c r="F200" s="77"/>
      <c r="G200" s="33"/>
      <c r="H200" s="32"/>
      <c r="I200" s="77"/>
      <c r="J200" s="33"/>
      <c r="K200" s="32"/>
      <c r="L200" s="77"/>
      <c r="M200" s="33"/>
      <c r="N200" s="32"/>
      <c r="O200" s="77"/>
      <c r="P200" s="33"/>
      <c r="Q200" s="32"/>
      <c r="R200" s="77"/>
      <c r="S200" s="30"/>
      <c r="T200" s="30"/>
      <c r="U200" s="30"/>
      <c r="V200" s="33"/>
      <c r="W200" s="32"/>
      <c r="X200" s="77"/>
    </row>
    <row x14ac:dyDescent="0.25" r="201" customHeight="1" ht="18">
      <c r="A201" s="33"/>
      <c r="B201" s="32"/>
      <c r="C201" s="77"/>
      <c r="D201" s="57"/>
      <c r="E201" s="57"/>
      <c r="F201" s="77"/>
      <c r="G201" s="33"/>
      <c r="H201" s="32"/>
      <c r="I201" s="77"/>
      <c r="J201" s="33"/>
      <c r="K201" s="32"/>
      <c r="L201" s="77"/>
      <c r="M201" s="33"/>
      <c r="N201" s="32"/>
      <c r="O201" s="77"/>
      <c r="P201" s="33"/>
      <c r="Q201" s="32"/>
      <c r="R201" s="77"/>
      <c r="S201" s="30"/>
      <c r="T201" s="30"/>
      <c r="U201" s="30"/>
      <c r="V201" s="33"/>
      <c r="W201" s="32"/>
      <c r="X201" s="77"/>
    </row>
    <row x14ac:dyDescent="0.25" r="202" customHeight="1" ht="18">
      <c r="A202" s="33"/>
      <c r="B202" s="32"/>
      <c r="C202" s="77"/>
      <c r="D202" s="57"/>
      <c r="E202" s="57"/>
      <c r="F202" s="77"/>
      <c r="G202" s="33"/>
      <c r="H202" s="32"/>
      <c r="I202" s="77"/>
      <c r="J202" s="33"/>
      <c r="K202" s="32"/>
      <c r="L202" s="77"/>
      <c r="M202" s="33"/>
      <c r="N202" s="32"/>
      <c r="O202" s="77"/>
      <c r="P202" s="33"/>
      <c r="Q202" s="32"/>
      <c r="R202" s="77"/>
      <c r="S202" s="30"/>
      <c r="T202" s="30"/>
      <c r="U202" s="30"/>
      <c r="V202" s="33"/>
      <c r="W202" s="32"/>
      <c r="X202" s="77"/>
    </row>
    <row x14ac:dyDescent="0.25" r="203" customHeight="1" ht="18">
      <c r="A203" s="33"/>
      <c r="B203" s="32"/>
      <c r="C203" s="77"/>
      <c r="D203" s="57"/>
      <c r="E203" s="57"/>
      <c r="F203" s="77"/>
      <c r="G203" s="33"/>
      <c r="H203" s="32"/>
      <c r="I203" s="77"/>
      <c r="J203" s="33"/>
      <c r="K203" s="32"/>
      <c r="L203" s="77"/>
      <c r="M203" s="33"/>
      <c r="N203" s="32"/>
      <c r="O203" s="77"/>
      <c r="P203" s="33"/>
      <c r="Q203" s="32"/>
      <c r="R203" s="77"/>
      <c r="S203" s="30"/>
      <c r="T203" s="30"/>
      <c r="U203" s="30"/>
      <c r="V203" s="33"/>
      <c r="W203" s="32"/>
      <c r="X203" s="77"/>
    </row>
    <row x14ac:dyDescent="0.25" r="204" customHeight="1" ht="18">
      <c r="A204" s="33"/>
      <c r="B204" s="32"/>
      <c r="C204" s="77"/>
      <c r="D204" s="57"/>
      <c r="E204" s="57"/>
      <c r="F204" s="77"/>
      <c r="G204" s="33"/>
      <c r="H204" s="32"/>
      <c r="I204" s="77"/>
      <c r="J204" s="33"/>
      <c r="K204" s="32"/>
      <c r="L204" s="77"/>
      <c r="M204" s="33"/>
      <c r="N204" s="32"/>
      <c r="O204" s="77"/>
      <c r="P204" s="33"/>
      <c r="Q204" s="32"/>
      <c r="R204" s="77"/>
      <c r="S204" s="30"/>
      <c r="T204" s="30"/>
      <c r="U204" s="30"/>
      <c r="V204" s="33"/>
      <c r="W204" s="32"/>
      <c r="X204" s="77"/>
    </row>
    <row x14ac:dyDescent="0.25" r="205" customHeight="1" ht="18">
      <c r="A205" s="33"/>
      <c r="B205" s="32"/>
      <c r="C205" s="77"/>
      <c r="D205" s="57"/>
      <c r="E205" s="57"/>
      <c r="F205" s="77"/>
      <c r="G205" s="33"/>
      <c r="H205" s="32"/>
      <c r="I205" s="77"/>
      <c r="J205" s="33"/>
      <c r="K205" s="32"/>
      <c r="L205" s="77"/>
      <c r="M205" s="33"/>
      <c r="N205" s="32"/>
      <c r="O205" s="77"/>
      <c r="P205" s="33"/>
      <c r="Q205" s="32"/>
      <c r="R205" s="77"/>
      <c r="S205" s="30"/>
      <c r="T205" s="30"/>
      <c r="U205" s="30"/>
      <c r="V205" s="33"/>
      <c r="W205" s="32"/>
      <c r="X205" s="77"/>
    </row>
    <row x14ac:dyDescent="0.25" r="206" customHeight="1" ht="18">
      <c r="A206" s="33"/>
      <c r="B206" s="32"/>
      <c r="C206" s="77"/>
      <c r="D206" s="57"/>
      <c r="E206" s="57"/>
      <c r="F206" s="77"/>
      <c r="G206" s="33"/>
      <c r="H206" s="32"/>
      <c r="I206" s="77"/>
      <c r="J206" s="33"/>
      <c r="K206" s="32"/>
      <c r="L206" s="77"/>
      <c r="M206" s="33"/>
      <c r="N206" s="32"/>
      <c r="O206" s="77"/>
      <c r="P206" s="33"/>
      <c r="Q206" s="32"/>
      <c r="R206" s="77"/>
      <c r="S206" s="30"/>
      <c r="T206" s="30"/>
      <c r="U206" s="30"/>
      <c r="V206" s="33"/>
      <c r="W206" s="32"/>
      <c r="X206" s="77"/>
    </row>
    <row x14ac:dyDescent="0.25" r="207" customHeight="1" ht="18">
      <c r="A207" s="33"/>
      <c r="B207" s="32"/>
      <c r="C207" s="77"/>
      <c r="D207" s="57"/>
      <c r="E207" s="57"/>
      <c r="F207" s="77"/>
      <c r="G207" s="33"/>
      <c r="H207" s="32"/>
      <c r="I207" s="77"/>
      <c r="J207" s="33"/>
      <c r="K207" s="32"/>
      <c r="L207" s="77"/>
      <c r="M207" s="33"/>
      <c r="N207" s="32"/>
      <c r="O207" s="77"/>
      <c r="P207" s="33"/>
      <c r="Q207" s="32"/>
      <c r="R207" s="77"/>
      <c r="S207" s="30"/>
      <c r="T207" s="30"/>
      <c r="U207" s="30"/>
      <c r="V207" s="33"/>
      <c r="W207" s="32"/>
      <c r="X207" s="77"/>
    </row>
    <row x14ac:dyDescent="0.25" r="208" customHeight="1" ht="18">
      <c r="A208" s="33"/>
      <c r="B208" s="32"/>
      <c r="C208" s="77"/>
      <c r="D208" s="57"/>
      <c r="E208" s="57"/>
      <c r="F208" s="77"/>
      <c r="G208" s="33"/>
      <c r="H208" s="32"/>
      <c r="I208" s="77"/>
      <c r="J208" s="33"/>
      <c r="K208" s="32"/>
      <c r="L208" s="77"/>
      <c r="M208" s="33"/>
      <c r="N208" s="32"/>
      <c r="O208" s="77"/>
      <c r="P208" s="33"/>
      <c r="Q208" s="32"/>
      <c r="R208" s="77"/>
      <c r="S208" s="30"/>
      <c r="T208" s="30"/>
      <c r="U208" s="30"/>
      <c r="V208" s="33"/>
      <c r="W208" s="32"/>
      <c r="X208" s="77"/>
    </row>
    <row x14ac:dyDescent="0.25" r="209" customHeight="1" ht="18">
      <c r="A209" s="33"/>
      <c r="B209" s="32"/>
      <c r="C209" s="77"/>
      <c r="D209" s="57"/>
      <c r="E209" s="57"/>
      <c r="F209" s="77"/>
      <c r="G209" s="33"/>
      <c r="H209" s="32"/>
      <c r="I209" s="77"/>
      <c r="J209" s="33"/>
      <c r="K209" s="32"/>
      <c r="L209" s="77"/>
      <c r="M209" s="33"/>
      <c r="N209" s="32"/>
      <c r="O209" s="77"/>
      <c r="P209" s="33"/>
      <c r="Q209" s="32"/>
      <c r="R209" s="77"/>
      <c r="S209" s="30"/>
      <c r="T209" s="30"/>
      <c r="U209" s="30"/>
      <c r="V209" s="33"/>
      <c r="W209" s="32"/>
      <c r="X209" s="77"/>
    </row>
    <row x14ac:dyDescent="0.25" r="210" customHeight="1" ht="18">
      <c r="A210" s="33"/>
      <c r="B210" s="32"/>
      <c r="C210" s="77"/>
      <c r="D210" s="57"/>
      <c r="E210" s="57"/>
      <c r="F210" s="77"/>
      <c r="G210" s="33"/>
      <c r="H210" s="32"/>
      <c r="I210" s="77"/>
      <c r="J210" s="33"/>
      <c r="K210" s="32"/>
      <c r="L210" s="77"/>
      <c r="M210" s="33"/>
      <c r="N210" s="32"/>
      <c r="O210" s="77"/>
      <c r="P210" s="33"/>
      <c r="Q210" s="32"/>
      <c r="R210" s="77"/>
      <c r="S210" s="30"/>
      <c r="T210" s="30"/>
      <c r="U210" s="30"/>
      <c r="V210" s="33"/>
      <c r="W210" s="32"/>
      <c r="X210" s="77"/>
    </row>
    <row x14ac:dyDescent="0.25" r="211" customHeight="1" ht="18">
      <c r="A211" s="33"/>
      <c r="B211" s="32"/>
      <c r="C211" s="77"/>
      <c r="D211" s="57"/>
      <c r="E211" s="57"/>
      <c r="F211" s="77"/>
      <c r="G211" s="33"/>
      <c r="H211" s="32"/>
      <c r="I211" s="77"/>
      <c r="J211" s="33"/>
      <c r="K211" s="32"/>
      <c r="L211" s="77"/>
      <c r="M211" s="33"/>
      <c r="N211" s="32"/>
      <c r="O211" s="77"/>
      <c r="P211" s="33"/>
      <c r="Q211" s="32"/>
      <c r="R211" s="77"/>
      <c r="S211" s="30"/>
      <c r="T211" s="30"/>
      <c r="U211" s="30"/>
      <c r="V211" s="33"/>
      <c r="W211" s="32"/>
      <c r="X211" s="77"/>
    </row>
    <row x14ac:dyDescent="0.25" r="212" customHeight="1" ht="18">
      <c r="A212" s="33"/>
      <c r="B212" s="32"/>
      <c r="C212" s="77"/>
      <c r="D212" s="57"/>
      <c r="E212" s="57"/>
      <c r="F212" s="77"/>
      <c r="G212" s="33"/>
      <c r="H212" s="32"/>
      <c r="I212" s="77"/>
      <c r="J212" s="33"/>
      <c r="K212" s="32"/>
      <c r="L212" s="77"/>
      <c r="M212" s="33"/>
      <c r="N212" s="32"/>
      <c r="O212" s="77"/>
      <c r="P212" s="33"/>
      <c r="Q212" s="32"/>
      <c r="R212" s="77"/>
      <c r="S212" s="30"/>
      <c r="T212" s="30"/>
      <c r="U212" s="30"/>
      <c r="V212" s="33"/>
      <c r="W212" s="32"/>
      <c r="X212" s="77"/>
    </row>
    <row x14ac:dyDescent="0.25" r="213" customHeight="1" ht="18">
      <c r="A213" s="33"/>
      <c r="B213" s="32"/>
      <c r="C213" s="77"/>
      <c r="D213" s="57"/>
      <c r="E213" s="57"/>
      <c r="F213" s="77"/>
      <c r="G213" s="33"/>
      <c r="H213" s="32"/>
      <c r="I213" s="77"/>
      <c r="J213" s="33"/>
      <c r="K213" s="32"/>
      <c r="L213" s="77"/>
      <c r="M213" s="33"/>
      <c r="N213" s="32"/>
      <c r="O213" s="77"/>
      <c r="P213" s="33"/>
      <c r="Q213" s="32"/>
      <c r="R213" s="77"/>
      <c r="S213" s="30"/>
      <c r="T213" s="30"/>
      <c r="U213" s="30"/>
      <c r="V213" s="33"/>
      <c r="W213" s="32"/>
      <c r="X213" s="77"/>
    </row>
    <row x14ac:dyDescent="0.25" r="214" customHeight="1" ht="18">
      <c r="A214" s="33"/>
      <c r="B214" s="32"/>
      <c r="C214" s="77"/>
      <c r="D214" s="57"/>
      <c r="E214" s="57"/>
      <c r="F214" s="77"/>
      <c r="G214" s="33"/>
      <c r="H214" s="32"/>
      <c r="I214" s="77"/>
      <c r="J214" s="33"/>
      <c r="K214" s="32"/>
      <c r="L214" s="77"/>
      <c r="M214" s="33"/>
      <c r="N214" s="32"/>
      <c r="O214" s="77"/>
      <c r="P214" s="33"/>
      <c r="Q214" s="32"/>
      <c r="R214" s="77"/>
      <c r="S214" s="30"/>
      <c r="T214" s="30"/>
      <c r="U214" s="30"/>
      <c r="V214" s="33"/>
      <c r="W214" s="32"/>
      <c r="X214" s="77"/>
    </row>
    <row x14ac:dyDescent="0.25" r="215" customHeight="1" ht="18">
      <c r="A215" s="33"/>
      <c r="B215" s="32"/>
      <c r="C215" s="77"/>
      <c r="D215" s="57"/>
      <c r="E215" s="57"/>
      <c r="F215" s="77"/>
      <c r="G215" s="33"/>
      <c r="H215" s="32"/>
      <c r="I215" s="77"/>
      <c r="J215" s="33"/>
      <c r="K215" s="32"/>
      <c r="L215" s="77"/>
      <c r="M215" s="33"/>
      <c r="N215" s="32"/>
      <c r="O215" s="77"/>
      <c r="P215" s="33"/>
      <c r="Q215" s="32"/>
      <c r="R215" s="77"/>
      <c r="S215" s="30"/>
      <c r="T215" s="30"/>
      <c r="U215" s="30"/>
      <c r="V215" s="33"/>
      <c r="W215" s="32"/>
      <c r="X215" s="77"/>
    </row>
    <row x14ac:dyDescent="0.25" r="216" customHeight="1" ht="18">
      <c r="A216" s="33"/>
      <c r="B216" s="32"/>
      <c r="C216" s="77"/>
      <c r="D216" s="57"/>
      <c r="E216" s="57"/>
      <c r="F216" s="77"/>
      <c r="G216" s="33"/>
      <c r="H216" s="32"/>
      <c r="I216" s="77"/>
      <c r="J216" s="33"/>
      <c r="K216" s="32"/>
      <c r="L216" s="77"/>
      <c r="M216" s="33"/>
      <c r="N216" s="32"/>
      <c r="O216" s="77"/>
      <c r="P216" s="33"/>
      <c r="Q216" s="32"/>
      <c r="R216" s="77"/>
      <c r="S216" s="30"/>
      <c r="T216" s="30"/>
      <c r="U216" s="30"/>
      <c r="V216" s="33"/>
      <c r="W216" s="32"/>
      <c r="X216" s="77"/>
    </row>
    <row x14ac:dyDescent="0.25" r="217" customHeight="1" ht="18">
      <c r="A217" s="33"/>
      <c r="B217" s="32"/>
      <c r="C217" s="77"/>
      <c r="D217" s="57"/>
      <c r="E217" s="57"/>
      <c r="F217" s="77"/>
      <c r="G217" s="33"/>
      <c r="H217" s="32"/>
      <c r="I217" s="77"/>
      <c r="J217" s="33"/>
      <c r="K217" s="32"/>
      <c r="L217" s="77"/>
      <c r="M217" s="33"/>
      <c r="N217" s="32"/>
      <c r="O217" s="77"/>
      <c r="P217" s="33"/>
      <c r="Q217" s="32"/>
      <c r="R217" s="77"/>
      <c r="S217" s="30"/>
      <c r="T217" s="30"/>
      <c r="U217" s="30"/>
      <c r="V217" s="33"/>
      <c r="W217" s="32"/>
      <c r="X217" s="77"/>
    </row>
    <row x14ac:dyDescent="0.25" r="218" customHeight="1" ht="18">
      <c r="A218" s="33"/>
      <c r="B218" s="32"/>
      <c r="C218" s="77"/>
      <c r="D218" s="57"/>
      <c r="E218" s="57"/>
      <c r="F218" s="77"/>
      <c r="G218" s="33"/>
      <c r="H218" s="32"/>
      <c r="I218" s="77"/>
      <c r="J218" s="33"/>
      <c r="K218" s="32"/>
      <c r="L218" s="77"/>
      <c r="M218" s="33"/>
      <c r="N218" s="32"/>
      <c r="O218" s="77"/>
      <c r="P218" s="33"/>
      <c r="Q218" s="32"/>
      <c r="R218" s="77"/>
      <c r="S218" s="30"/>
      <c r="T218" s="30"/>
      <c r="U218" s="30"/>
      <c r="V218" s="33"/>
      <c r="W218" s="32"/>
      <c r="X218" s="77"/>
    </row>
    <row x14ac:dyDescent="0.25" r="219" customHeight="1" ht="18">
      <c r="A219" s="33"/>
      <c r="B219" s="32"/>
      <c r="C219" s="77"/>
      <c r="D219" s="57"/>
      <c r="E219" s="57"/>
      <c r="F219" s="77"/>
      <c r="G219" s="33"/>
      <c r="H219" s="32"/>
      <c r="I219" s="77"/>
      <c r="J219" s="33"/>
      <c r="K219" s="32"/>
      <c r="L219" s="77"/>
      <c r="M219" s="33"/>
      <c r="N219" s="32"/>
      <c r="O219" s="77"/>
      <c r="P219" s="33"/>
      <c r="Q219" s="32"/>
      <c r="R219" s="77"/>
      <c r="S219" s="30"/>
      <c r="T219" s="30"/>
      <c r="U219" s="30"/>
      <c r="V219" s="33"/>
      <c r="W219" s="32"/>
      <c r="X219" s="77"/>
    </row>
    <row x14ac:dyDescent="0.25" r="220" customHeight="1" ht="18">
      <c r="A220" s="33"/>
      <c r="B220" s="32"/>
      <c r="C220" s="77"/>
      <c r="D220" s="57"/>
      <c r="E220" s="57"/>
      <c r="F220" s="77"/>
      <c r="G220" s="33"/>
      <c r="H220" s="32"/>
      <c r="I220" s="77"/>
      <c r="J220" s="33"/>
      <c r="K220" s="32"/>
      <c r="L220" s="77"/>
      <c r="M220" s="33"/>
      <c r="N220" s="32"/>
      <c r="O220" s="77"/>
      <c r="P220" s="33"/>
      <c r="Q220" s="32"/>
      <c r="R220" s="77"/>
      <c r="S220" s="30"/>
      <c r="T220" s="30"/>
      <c r="U220" s="30"/>
      <c r="V220" s="33"/>
      <c r="W220" s="32"/>
      <c r="X220" s="77"/>
    </row>
    <row x14ac:dyDescent="0.25" r="221" customHeight="1" ht="18">
      <c r="A221" s="33"/>
      <c r="B221" s="32"/>
      <c r="C221" s="77"/>
      <c r="D221" s="57"/>
      <c r="E221" s="57"/>
      <c r="F221" s="77"/>
      <c r="G221" s="33"/>
      <c r="H221" s="32"/>
      <c r="I221" s="77"/>
      <c r="J221" s="33"/>
      <c r="K221" s="32"/>
      <c r="L221" s="77"/>
      <c r="M221" s="33"/>
      <c r="N221" s="32"/>
      <c r="O221" s="77"/>
      <c r="P221" s="33"/>
      <c r="Q221" s="32"/>
      <c r="R221" s="77"/>
      <c r="S221" s="30"/>
      <c r="T221" s="30"/>
      <c r="U221" s="30"/>
      <c r="V221" s="33"/>
      <c r="W221" s="32"/>
      <c r="X221" s="77"/>
    </row>
    <row x14ac:dyDescent="0.25" r="222" customHeight="1" ht="18">
      <c r="A222" s="33"/>
      <c r="B222" s="32"/>
      <c r="C222" s="77"/>
      <c r="D222" s="57"/>
      <c r="E222" s="57"/>
      <c r="F222" s="77"/>
      <c r="G222" s="33"/>
      <c r="H222" s="32"/>
      <c r="I222" s="77"/>
      <c r="J222" s="33"/>
      <c r="K222" s="32"/>
      <c r="L222" s="77"/>
      <c r="M222" s="33"/>
      <c r="N222" s="32"/>
      <c r="O222" s="77"/>
      <c r="P222" s="33"/>
      <c r="Q222" s="32"/>
      <c r="R222" s="77"/>
      <c r="S222" s="30"/>
      <c r="T222" s="30"/>
      <c r="U222" s="30"/>
      <c r="V222" s="33"/>
      <c r="W222" s="32"/>
      <c r="X222" s="77"/>
    </row>
    <row x14ac:dyDescent="0.25" r="223" customHeight="1" ht="18">
      <c r="A223" s="33"/>
      <c r="B223" s="32"/>
      <c r="C223" s="77"/>
      <c r="D223" s="57"/>
      <c r="E223" s="57"/>
      <c r="F223" s="77"/>
      <c r="G223" s="33"/>
      <c r="H223" s="32"/>
      <c r="I223" s="77"/>
      <c r="J223" s="33"/>
      <c r="K223" s="32"/>
      <c r="L223" s="77"/>
      <c r="M223" s="33"/>
      <c r="N223" s="32"/>
      <c r="O223" s="77"/>
      <c r="P223" s="33"/>
      <c r="Q223" s="32"/>
      <c r="R223" s="77"/>
      <c r="S223" s="30"/>
      <c r="T223" s="30"/>
      <c r="U223" s="30"/>
      <c r="V223" s="33"/>
      <c r="W223" s="32"/>
      <c r="X223" s="77"/>
    </row>
    <row x14ac:dyDescent="0.25" r="224" customHeight="1" ht="18">
      <c r="A224" s="33"/>
      <c r="B224" s="32"/>
      <c r="C224" s="77"/>
      <c r="D224" s="57"/>
      <c r="E224" s="57"/>
      <c r="F224" s="77"/>
      <c r="G224" s="33"/>
      <c r="H224" s="32"/>
      <c r="I224" s="77"/>
      <c r="J224" s="33"/>
      <c r="K224" s="32"/>
      <c r="L224" s="77"/>
      <c r="M224" s="33"/>
      <c r="N224" s="32"/>
      <c r="O224" s="77"/>
      <c r="P224" s="33"/>
      <c r="Q224" s="32"/>
      <c r="R224" s="77"/>
      <c r="S224" s="30"/>
      <c r="T224" s="30"/>
      <c r="U224" s="30"/>
      <c r="V224" s="33"/>
      <c r="W224" s="32"/>
      <c r="X224" s="77"/>
    </row>
    <row x14ac:dyDescent="0.25" r="225" customHeight="1" ht="18">
      <c r="A225" s="33"/>
      <c r="B225" s="32"/>
      <c r="C225" s="77"/>
      <c r="D225" s="57"/>
      <c r="E225" s="57"/>
      <c r="F225" s="77"/>
      <c r="G225" s="33"/>
      <c r="H225" s="32"/>
      <c r="I225" s="77"/>
      <c r="J225" s="33"/>
      <c r="K225" s="32"/>
      <c r="L225" s="77"/>
      <c r="M225" s="33"/>
      <c r="N225" s="32"/>
      <c r="O225" s="77"/>
      <c r="P225" s="33"/>
      <c r="Q225" s="32"/>
      <c r="R225" s="77"/>
      <c r="S225" s="30"/>
      <c r="T225" s="30"/>
      <c r="U225" s="30"/>
      <c r="V225" s="33"/>
      <c r="W225" s="32"/>
      <c r="X225" s="77"/>
    </row>
    <row x14ac:dyDescent="0.25" r="226" customHeight="1" ht="18">
      <c r="A226" s="33"/>
      <c r="B226" s="32"/>
      <c r="C226" s="77"/>
      <c r="D226" s="57"/>
      <c r="E226" s="57"/>
      <c r="F226" s="77"/>
      <c r="G226" s="33"/>
      <c r="H226" s="32"/>
      <c r="I226" s="77"/>
      <c r="J226" s="33"/>
      <c r="K226" s="32"/>
      <c r="L226" s="77"/>
      <c r="M226" s="33"/>
      <c r="N226" s="32"/>
      <c r="O226" s="77"/>
      <c r="P226" s="33"/>
      <c r="Q226" s="32"/>
      <c r="R226" s="77"/>
      <c r="S226" s="30"/>
      <c r="T226" s="30"/>
      <c r="U226" s="30"/>
      <c r="V226" s="33"/>
      <c r="W226" s="32"/>
      <c r="X226" s="77"/>
    </row>
    <row x14ac:dyDescent="0.25" r="227" customHeight="1" ht="18">
      <c r="A227" s="33"/>
      <c r="B227" s="32"/>
      <c r="C227" s="77"/>
      <c r="D227" s="57"/>
      <c r="E227" s="57"/>
      <c r="F227" s="77"/>
      <c r="G227" s="33"/>
      <c r="H227" s="32"/>
      <c r="I227" s="77"/>
      <c r="J227" s="33"/>
      <c r="K227" s="32"/>
      <c r="L227" s="77"/>
      <c r="M227" s="33"/>
      <c r="N227" s="32"/>
      <c r="O227" s="77"/>
      <c r="P227" s="33"/>
      <c r="Q227" s="32"/>
      <c r="R227" s="77"/>
      <c r="S227" s="30"/>
      <c r="T227" s="30"/>
      <c r="U227" s="30"/>
      <c r="V227" s="33"/>
      <c r="W227" s="32"/>
      <c r="X227" s="77"/>
    </row>
    <row x14ac:dyDescent="0.25" r="228" customHeight="1" ht="18">
      <c r="A228" s="33"/>
      <c r="B228" s="32"/>
      <c r="C228" s="77"/>
      <c r="D228" s="57"/>
      <c r="E228" s="57"/>
      <c r="F228" s="77"/>
      <c r="G228" s="33"/>
      <c r="H228" s="32"/>
      <c r="I228" s="77"/>
      <c r="J228" s="33"/>
      <c r="K228" s="32"/>
      <c r="L228" s="77"/>
      <c r="M228" s="33"/>
      <c r="N228" s="32"/>
      <c r="O228" s="77"/>
      <c r="P228" s="33"/>
      <c r="Q228" s="32"/>
      <c r="R228" s="77"/>
      <c r="S228" s="30"/>
      <c r="T228" s="30"/>
      <c r="U228" s="30"/>
      <c r="V228" s="33"/>
      <c r="W228" s="32"/>
      <c r="X228" s="77"/>
    </row>
    <row x14ac:dyDescent="0.25" r="229" customHeight="1" ht="18">
      <c r="A229" s="33"/>
      <c r="B229" s="32"/>
      <c r="C229" s="77"/>
      <c r="D229" s="57"/>
      <c r="E229" s="57"/>
      <c r="F229" s="77"/>
      <c r="G229" s="33"/>
      <c r="H229" s="32"/>
      <c r="I229" s="77"/>
      <c r="J229" s="33"/>
      <c r="K229" s="32"/>
      <c r="L229" s="77"/>
      <c r="M229" s="33"/>
      <c r="N229" s="32"/>
      <c r="O229" s="77"/>
      <c r="P229" s="33"/>
      <c r="Q229" s="32"/>
      <c r="R229" s="77"/>
      <c r="S229" s="30"/>
      <c r="T229" s="30"/>
      <c r="U229" s="30"/>
      <c r="V229" s="33"/>
      <c r="W229" s="32"/>
      <c r="X229" s="77"/>
    </row>
    <row x14ac:dyDescent="0.25" r="230" customHeight="1" ht="18">
      <c r="A230" s="33"/>
      <c r="B230" s="32"/>
      <c r="C230" s="77"/>
      <c r="D230" s="57"/>
      <c r="E230" s="57"/>
      <c r="F230" s="77"/>
      <c r="G230" s="33"/>
      <c r="H230" s="32"/>
      <c r="I230" s="77"/>
      <c r="J230" s="33"/>
      <c r="K230" s="32"/>
      <c r="L230" s="77"/>
      <c r="M230" s="33"/>
      <c r="N230" s="32"/>
      <c r="O230" s="77"/>
      <c r="P230" s="33"/>
      <c r="Q230" s="32"/>
      <c r="R230" s="77"/>
      <c r="S230" s="30"/>
      <c r="T230" s="30"/>
      <c r="U230" s="30"/>
      <c r="V230" s="33"/>
      <c r="W230" s="32"/>
      <c r="X230" s="77"/>
    </row>
    <row x14ac:dyDescent="0.25" r="231" customHeight="1" ht="18">
      <c r="A231" s="33"/>
      <c r="B231" s="32"/>
      <c r="C231" s="77"/>
      <c r="D231" s="57"/>
      <c r="E231" s="57"/>
      <c r="F231" s="77"/>
      <c r="G231" s="33"/>
      <c r="H231" s="32"/>
      <c r="I231" s="77"/>
      <c r="J231" s="33"/>
      <c r="K231" s="32"/>
      <c r="L231" s="77"/>
      <c r="M231" s="33"/>
      <c r="N231" s="32"/>
      <c r="O231" s="77"/>
      <c r="P231" s="33"/>
      <c r="Q231" s="32"/>
      <c r="R231" s="77"/>
      <c r="S231" s="30"/>
      <c r="T231" s="30"/>
      <c r="U231" s="30"/>
      <c r="V231" s="33"/>
      <c r="W231" s="32"/>
      <c r="X231" s="77"/>
    </row>
    <row x14ac:dyDescent="0.25" r="232" customHeight="1" ht="18">
      <c r="A232" s="33"/>
      <c r="B232" s="32"/>
      <c r="C232" s="77"/>
      <c r="D232" s="57"/>
      <c r="E232" s="57"/>
      <c r="F232" s="77"/>
      <c r="G232" s="33"/>
      <c r="H232" s="32"/>
      <c r="I232" s="77"/>
      <c r="J232" s="33"/>
      <c r="K232" s="32"/>
      <c r="L232" s="77"/>
      <c r="M232" s="33"/>
      <c r="N232" s="32"/>
      <c r="O232" s="77"/>
      <c r="P232" s="33"/>
      <c r="Q232" s="32"/>
      <c r="R232" s="77"/>
      <c r="S232" s="30"/>
      <c r="T232" s="30"/>
      <c r="U232" s="30"/>
      <c r="V232" s="33"/>
      <c r="W232" s="32"/>
      <c r="X232" s="77"/>
    </row>
    <row x14ac:dyDescent="0.25" r="233" customHeight="1" ht="18">
      <c r="A233" s="33"/>
      <c r="B233" s="32"/>
      <c r="C233" s="77"/>
      <c r="D233" s="57"/>
      <c r="E233" s="57"/>
      <c r="F233" s="77"/>
      <c r="G233" s="33"/>
      <c r="H233" s="32"/>
      <c r="I233" s="77"/>
      <c r="J233" s="33"/>
      <c r="K233" s="32"/>
      <c r="L233" s="77"/>
      <c r="M233" s="33"/>
      <c r="N233" s="32"/>
      <c r="O233" s="77"/>
      <c r="P233" s="33"/>
      <c r="Q233" s="32"/>
      <c r="R233" s="77"/>
      <c r="S233" s="30"/>
      <c r="T233" s="30"/>
      <c r="U233" s="30"/>
      <c r="V233" s="33"/>
      <c r="W233" s="32"/>
      <c r="X233" s="77"/>
    </row>
    <row x14ac:dyDescent="0.25" r="234" customHeight="1" ht="18">
      <c r="A234" s="33"/>
      <c r="B234" s="32"/>
      <c r="C234" s="77"/>
      <c r="D234" s="57"/>
      <c r="E234" s="57"/>
      <c r="F234" s="77"/>
      <c r="G234" s="33"/>
      <c r="H234" s="32"/>
      <c r="I234" s="77"/>
      <c r="J234" s="33"/>
      <c r="K234" s="32"/>
      <c r="L234" s="77"/>
      <c r="M234" s="33"/>
      <c r="N234" s="32"/>
      <c r="O234" s="77"/>
      <c r="P234" s="33"/>
      <c r="Q234" s="32"/>
      <c r="R234" s="77"/>
      <c r="S234" s="30"/>
      <c r="T234" s="30"/>
      <c r="U234" s="30"/>
      <c r="V234" s="33"/>
      <c r="W234" s="32"/>
      <c r="X234" s="77"/>
    </row>
    <row x14ac:dyDescent="0.25" r="235" customHeight="1" ht="18">
      <c r="A235" s="33"/>
      <c r="B235" s="32"/>
      <c r="C235" s="77"/>
      <c r="D235" s="57"/>
      <c r="E235" s="57"/>
      <c r="F235" s="77"/>
      <c r="G235" s="33"/>
      <c r="H235" s="32"/>
      <c r="I235" s="77"/>
      <c r="J235" s="33"/>
      <c r="K235" s="32"/>
      <c r="L235" s="77"/>
      <c r="M235" s="33"/>
      <c r="N235" s="32"/>
      <c r="O235" s="77"/>
      <c r="P235" s="33"/>
      <c r="Q235" s="32"/>
      <c r="R235" s="77"/>
      <c r="S235" s="30"/>
      <c r="T235" s="30"/>
      <c r="U235" s="30"/>
      <c r="V235" s="33"/>
      <c r="W235" s="32"/>
      <c r="X235" s="77"/>
    </row>
    <row x14ac:dyDescent="0.25" r="236" customHeight="1" ht="18">
      <c r="A236" s="33"/>
      <c r="B236" s="32"/>
      <c r="C236" s="77"/>
      <c r="D236" s="57"/>
      <c r="E236" s="57"/>
      <c r="F236" s="77"/>
      <c r="G236" s="33"/>
      <c r="H236" s="32"/>
      <c r="I236" s="77"/>
      <c r="J236" s="33"/>
      <c r="K236" s="32"/>
      <c r="L236" s="77"/>
      <c r="M236" s="33"/>
      <c r="N236" s="32"/>
      <c r="O236" s="77"/>
      <c r="P236" s="33"/>
      <c r="Q236" s="32"/>
      <c r="R236" s="77"/>
      <c r="S236" s="30"/>
      <c r="T236" s="30"/>
      <c r="U236" s="30"/>
      <c r="V236" s="33"/>
      <c r="W236" s="32"/>
      <c r="X236" s="77"/>
    </row>
    <row x14ac:dyDescent="0.25" r="237" customHeight="1" ht="18">
      <c r="A237" s="33"/>
      <c r="B237" s="32"/>
      <c r="C237" s="77"/>
      <c r="D237" s="57"/>
      <c r="E237" s="57"/>
      <c r="F237" s="77"/>
      <c r="G237" s="33"/>
      <c r="H237" s="32"/>
      <c r="I237" s="77"/>
      <c r="J237" s="33"/>
      <c r="K237" s="32"/>
      <c r="L237" s="77"/>
      <c r="M237" s="33"/>
      <c r="N237" s="32"/>
      <c r="O237" s="77"/>
      <c r="P237" s="33"/>
      <c r="Q237" s="32"/>
      <c r="R237" s="77"/>
      <c r="S237" s="30"/>
      <c r="T237" s="30"/>
      <c r="U237" s="30"/>
      <c r="V237" s="33"/>
      <c r="W237" s="32"/>
      <c r="X237" s="77"/>
    </row>
    <row x14ac:dyDescent="0.25" r="238" customHeight="1" ht="18">
      <c r="A238" s="33"/>
      <c r="B238" s="32"/>
      <c r="C238" s="77"/>
      <c r="D238" s="57"/>
      <c r="E238" s="57"/>
      <c r="F238" s="77"/>
      <c r="G238" s="33"/>
      <c r="H238" s="32"/>
      <c r="I238" s="77"/>
      <c r="J238" s="33"/>
      <c r="K238" s="32"/>
      <c r="L238" s="77"/>
      <c r="M238" s="33"/>
      <c r="N238" s="32"/>
      <c r="O238" s="77"/>
      <c r="P238" s="33"/>
      <c r="Q238" s="32"/>
      <c r="R238" s="77"/>
      <c r="S238" s="30"/>
      <c r="T238" s="30"/>
      <c r="U238" s="30"/>
      <c r="V238" s="33"/>
      <c r="W238" s="32"/>
      <c r="X238" s="77"/>
    </row>
    <row x14ac:dyDescent="0.25" r="239" customHeight="1" ht="18">
      <c r="A239" s="33"/>
      <c r="B239" s="32"/>
      <c r="C239" s="77"/>
      <c r="D239" s="57"/>
      <c r="E239" s="57"/>
      <c r="F239" s="77"/>
      <c r="G239" s="33"/>
      <c r="H239" s="32"/>
      <c r="I239" s="77"/>
      <c r="J239" s="33"/>
      <c r="K239" s="32"/>
      <c r="L239" s="77"/>
      <c r="M239" s="33"/>
      <c r="N239" s="32"/>
      <c r="O239" s="77"/>
      <c r="P239" s="33"/>
      <c r="Q239" s="32"/>
      <c r="R239" s="77"/>
      <c r="S239" s="30"/>
      <c r="T239" s="30"/>
      <c r="U239" s="30"/>
      <c r="V239" s="33"/>
      <c r="W239" s="32"/>
      <c r="X239" s="77"/>
    </row>
    <row x14ac:dyDescent="0.25" r="240" customHeight="1" ht="18">
      <c r="A240" s="33"/>
      <c r="B240" s="32"/>
      <c r="C240" s="77"/>
      <c r="D240" s="57"/>
      <c r="E240" s="57"/>
      <c r="F240" s="77"/>
      <c r="G240" s="33"/>
      <c r="H240" s="32"/>
      <c r="I240" s="77"/>
      <c r="J240" s="33"/>
      <c r="K240" s="32"/>
      <c r="L240" s="77"/>
      <c r="M240" s="33"/>
      <c r="N240" s="32"/>
      <c r="O240" s="77"/>
      <c r="P240" s="33"/>
      <c r="Q240" s="32"/>
      <c r="R240" s="77"/>
      <c r="S240" s="30"/>
      <c r="T240" s="30"/>
      <c r="U240" s="30"/>
      <c r="V240" s="33"/>
      <c r="W240" s="32"/>
      <c r="X240" s="77"/>
    </row>
    <row x14ac:dyDescent="0.25" r="241" customHeight="1" ht="18">
      <c r="A241" s="33"/>
      <c r="B241" s="32"/>
      <c r="C241" s="77"/>
      <c r="D241" s="57"/>
      <c r="E241" s="57"/>
      <c r="F241" s="77"/>
      <c r="G241" s="33"/>
      <c r="H241" s="32"/>
      <c r="I241" s="77"/>
      <c r="J241" s="33"/>
      <c r="K241" s="32"/>
      <c r="L241" s="77"/>
      <c r="M241" s="33"/>
      <c r="N241" s="32"/>
      <c r="O241" s="77"/>
      <c r="P241" s="33"/>
      <c r="Q241" s="32"/>
      <c r="R241" s="77"/>
      <c r="S241" s="30"/>
      <c r="T241" s="30"/>
      <c r="U241" s="30"/>
      <c r="V241" s="33"/>
      <c r="W241" s="32"/>
      <c r="X241" s="77"/>
    </row>
    <row x14ac:dyDescent="0.25" r="242" customHeight="1" ht="18">
      <c r="A242" s="33"/>
      <c r="B242" s="32"/>
      <c r="C242" s="77"/>
      <c r="D242" s="57"/>
      <c r="E242" s="57"/>
      <c r="F242" s="77"/>
      <c r="G242" s="33"/>
      <c r="H242" s="32"/>
      <c r="I242" s="77"/>
      <c r="J242" s="33"/>
      <c r="K242" s="32"/>
      <c r="L242" s="77"/>
      <c r="M242" s="33"/>
      <c r="N242" s="32"/>
      <c r="O242" s="77"/>
      <c r="P242" s="33"/>
      <c r="Q242" s="32"/>
      <c r="R242" s="77"/>
      <c r="S242" s="30"/>
      <c r="T242" s="30"/>
      <c r="U242" s="30"/>
      <c r="V242" s="33"/>
      <c r="W242" s="32"/>
      <c r="X242" s="77"/>
    </row>
    <row x14ac:dyDescent="0.25" r="243" customHeight="1" ht="18">
      <c r="A243" s="33"/>
      <c r="B243" s="32"/>
      <c r="C243" s="77"/>
      <c r="D243" s="57"/>
      <c r="E243" s="57"/>
      <c r="F243" s="77"/>
      <c r="G243" s="33"/>
      <c r="H243" s="32"/>
      <c r="I243" s="77"/>
      <c r="J243" s="33"/>
      <c r="K243" s="32"/>
      <c r="L243" s="77"/>
      <c r="M243" s="33"/>
      <c r="N243" s="32"/>
      <c r="O243" s="77"/>
      <c r="P243" s="33"/>
      <c r="Q243" s="32"/>
      <c r="R243" s="77"/>
      <c r="S243" s="30"/>
      <c r="T243" s="30"/>
      <c r="U243" s="30"/>
      <c r="V243" s="33"/>
      <c r="W243" s="32"/>
      <c r="X243" s="77"/>
    </row>
    <row x14ac:dyDescent="0.25" r="244" customHeight="1" ht="18">
      <c r="A244" s="33"/>
      <c r="B244" s="32"/>
      <c r="C244" s="77"/>
      <c r="D244" s="57"/>
      <c r="E244" s="57"/>
      <c r="F244" s="77"/>
      <c r="G244" s="33"/>
      <c r="H244" s="32"/>
      <c r="I244" s="77"/>
      <c r="J244" s="33"/>
      <c r="K244" s="32"/>
      <c r="L244" s="77"/>
      <c r="M244" s="33"/>
      <c r="N244" s="32"/>
      <c r="O244" s="77"/>
      <c r="P244" s="33"/>
      <c r="Q244" s="32"/>
      <c r="R244" s="77"/>
      <c r="S244" s="30"/>
      <c r="T244" s="30"/>
      <c r="U244" s="30"/>
      <c r="V244" s="33"/>
      <c r="W244" s="32"/>
      <c r="X244" s="77"/>
    </row>
    <row x14ac:dyDescent="0.25" r="245" customHeight="1" ht="18">
      <c r="A245" s="33"/>
      <c r="B245" s="32"/>
      <c r="C245" s="77"/>
      <c r="D245" s="57"/>
      <c r="E245" s="57"/>
      <c r="F245" s="77"/>
      <c r="G245" s="33"/>
      <c r="H245" s="32"/>
      <c r="I245" s="77"/>
      <c r="J245" s="33"/>
      <c r="K245" s="32"/>
      <c r="L245" s="77"/>
      <c r="M245" s="33"/>
      <c r="N245" s="32"/>
      <c r="O245" s="77"/>
      <c r="P245" s="33"/>
      <c r="Q245" s="32"/>
      <c r="R245" s="77"/>
      <c r="S245" s="30"/>
      <c r="T245" s="30"/>
      <c r="U245" s="30"/>
      <c r="V245" s="33"/>
      <c r="W245" s="32"/>
      <c r="X245" s="77"/>
    </row>
    <row x14ac:dyDescent="0.25" r="246" customHeight="1" ht="18">
      <c r="A246" s="33"/>
      <c r="B246" s="32"/>
      <c r="C246" s="77"/>
      <c r="D246" s="57"/>
      <c r="E246" s="57"/>
      <c r="F246" s="77"/>
      <c r="G246" s="33"/>
      <c r="H246" s="32"/>
      <c r="I246" s="77"/>
      <c r="J246" s="33"/>
      <c r="K246" s="32"/>
      <c r="L246" s="77"/>
      <c r="M246" s="33"/>
      <c r="N246" s="32"/>
      <c r="O246" s="77"/>
      <c r="P246" s="33"/>
      <c r="Q246" s="32"/>
      <c r="R246" s="77"/>
      <c r="S246" s="30"/>
      <c r="T246" s="30"/>
      <c r="U246" s="30"/>
      <c r="V246" s="33"/>
      <c r="W246" s="32"/>
      <c r="X246" s="77"/>
    </row>
    <row x14ac:dyDescent="0.25" r="247" customHeight="1" ht="18">
      <c r="A247" s="33"/>
      <c r="B247" s="32"/>
      <c r="C247" s="77"/>
      <c r="D247" s="57"/>
      <c r="E247" s="57"/>
      <c r="F247" s="77"/>
      <c r="G247" s="33"/>
      <c r="H247" s="32"/>
      <c r="I247" s="77"/>
      <c r="J247" s="33"/>
      <c r="K247" s="32"/>
      <c r="L247" s="77"/>
      <c r="M247" s="33"/>
      <c r="N247" s="32"/>
      <c r="O247" s="77"/>
      <c r="P247" s="33"/>
      <c r="Q247" s="32"/>
      <c r="R247" s="77"/>
      <c r="S247" s="30"/>
      <c r="T247" s="30"/>
      <c r="U247" s="30"/>
      <c r="V247" s="33"/>
      <c r="W247" s="32"/>
      <c r="X247" s="77"/>
    </row>
    <row x14ac:dyDescent="0.25" r="248" customHeight="1" ht="18">
      <c r="A248" s="33"/>
      <c r="B248" s="32"/>
      <c r="C248" s="77"/>
      <c r="D248" s="57"/>
      <c r="E248" s="57"/>
      <c r="F248" s="77"/>
      <c r="G248" s="33"/>
      <c r="H248" s="32"/>
      <c r="I248" s="77"/>
      <c r="J248" s="33"/>
      <c r="K248" s="32"/>
      <c r="L248" s="77"/>
      <c r="M248" s="33"/>
      <c r="N248" s="32"/>
      <c r="O248" s="77"/>
      <c r="P248" s="33"/>
      <c r="Q248" s="32"/>
      <c r="R248" s="77"/>
      <c r="S248" s="30"/>
      <c r="T248" s="30"/>
      <c r="U248" s="30"/>
      <c r="V248" s="33"/>
      <c r="W248" s="32"/>
      <c r="X248" s="77"/>
    </row>
    <row x14ac:dyDescent="0.25" r="249" customHeight="1" ht="18">
      <c r="A249" s="33"/>
      <c r="B249" s="32"/>
      <c r="C249" s="77"/>
      <c r="D249" s="57"/>
      <c r="E249" s="57"/>
      <c r="F249" s="77"/>
      <c r="G249" s="33"/>
      <c r="H249" s="32"/>
      <c r="I249" s="77"/>
      <c r="J249" s="33"/>
      <c r="K249" s="32"/>
      <c r="L249" s="77"/>
      <c r="M249" s="33"/>
      <c r="N249" s="32"/>
      <c r="O249" s="77"/>
      <c r="P249" s="33"/>
      <c r="Q249" s="32"/>
      <c r="R249" s="77"/>
      <c r="S249" s="30"/>
      <c r="T249" s="30"/>
      <c r="U249" s="30"/>
      <c r="V249" s="33"/>
      <c r="W249" s="32"/>
      <c r="X249" s="77"/>
    </row>
    <row x14ac:dyDescent="0.25" r="250" customHeight="1" ht="18">
      <c r="A250" s="33"/>
      <c r="B250" s="32"/>
      <c r="C250" s="77"/>
      <c r="D250" s="57"/>
      <c r="E250" s="57"/>
      <c r="F250" s="77"/>
      <c r="G250" s="33"/>
      <c r="H250" s="32"/>
      <c r="I250" s="77"/>
      <c r="J250" s="33"/>
      <c r="K250" s="32"/>
      <c r="L250" s="77"/>
      <c r="M250" s="33"/>
      <c r="N250" s="32"/>
      <c r="O250" s="77"/>
      <c r="P250" s="33"/>
      <c r="Q250" s="32"/>
      <c r="R250" s="77"/>
      <c r="S250" s="30"/>
      <c r="T250" s="30"/>
      <c r="U250" s="30"/>
      <c r="V250" s="33"/>
      <c r="W250" s="32"/>
      <c r="X250" s="77"/>
    </row>
    <row x14ac:dyDescent="0.25" r="251" customHeight="1" ht="18">
      <c r="A251" s="33"/>
      <c r="B251" s="32"/>
      <c r="C251" s="77"/>
      <c r="D251" s="57"/>
      <c r="E251" s="57"/>
      <c r="F251" s="77"/>
      <c r="G251" s="33"/>
      <c r="H251" s="32"/>
      <c r="I251" s="77"/>
      <c r="J251" s="33"/>
      <c r="K251" s="32"/>
      <c r="L251" s="77"/>
      <c r="M251" s="33"/>
      <c r="N251" s="32"/>
      <c r="O251" s="77"/>
      <c r="P251" s="33"/>
      <c r="Q251" s="32"/>
      <c r="R251" s="77"/>
      <c r="S251" s="30"/>
      <c r="T251" s="30"/>
      <c r="U251" s="30"/>
      <c r="V251" s="33"/>
      <c r="W251" s="32"/>
      <c r="X251" s="77"/>
    </row>
    <row x14ac:dyDescent="0.25" r="252" customHeight="1" ht="18">
      <c r="A252" s="33"/>
      <c r="B252" s="32"/>
      <c r="C252" s="77"/>
      <c r="D252" s="57"/>
      <c r="E252" s="57"/>
      <c r="F252" s="77"/>
      <c r="G252" s="33"/>
      <c r="H252" s="32"/>
      <c r="I252" s="77"/>
      <c r="J252" s="33"/>
      <c r="K252" s="32"/>
      <c r="L252" s="77"/>
      <c r="M252" s="33"/>
      <c r="N252" s="32"/>
      <c r="O252" s="77"/>
      <c r="P252" s="33"/>
      <c r="Q252" s="32"/>
      <c r="R252" s="77"/>
      <c r="S252" s="30"/>
      <c r="T252" s="30"/>
      <c r="U252" s="30"/>
      <c r="V252" s="33"/>
      <c r="W252" s="32"/>
      <c r="X252" s="77"/>
    </row>
    <row x14ac:dyDescent="0.25" r="253" customHeight="1" ht="18">
      <c r="A253" s="33"/>
      <c r="B253" s="32"/>
      <c r="C253" s="77"/>
      <c r="D253" s="57"/>
      <c r="E253" s="57"/>
      <c r="F253" s="77"/>
      <c r="G253" s="33"/>
      <c r="H253" s="32"/>
      <c r="I253" s="77"/>
      <c r="J253" s="33"/>
      <c r="K253" s="32"/>
      <c r="L253" s="77"/>
      <c r="M253" s="33"/>
      <c r="N253" s="32"/>
      <c r="O253" s="77"/>
      <c r="P253" s="33"/>
      <c r="Q253" s="32"/>
      <c r="R253" s="77"/>
      <c r="S253" s="30"/>
      <c r="T253" s="30"/>
      <c r="U253" s="30"/>
      <c r="V253" s="33"/>
      <c r="W253" s="32"/>
      <c r="X253" s="77"/>
    </row>
    <row x14ac:dyDescent="0.25" r="254" customHeight="1" ht="18">
      <c r="A254" s="33"/>
      <c r="B254" s="32"/>
      <c r="C254" s="77"/>
      <c r="D254" s="57"/>
      <c r="E254" s="57"/>
      <c r="F254" s="77"/>
      <c r="G254" s="33"/>
      <c r="H254" s="32"/>
      <c r="I254" s="77"/>
      <c r="J254" s="33"/>
      <c r="K254" s="32"/>
      <c r="L254" s="77"/>
      <c r="M254" s="33"/>
      <c r="N254" s="32"/>
      <c r="O254" s="77"/>
      <c r="P254" s="33"/>
      <c r="Q254" s="32"/>
      <c r="R254" s="77"/>
      <c r="S254" s="30"/>
      <c r="T254" s="30"/>
      <c r="U254" s="30"/>
      <c r="V254" s="33"/>
      <c r="W254" s="32"/>
      <c r="X254" s="77"/>
    </row>
    <row x14ac:dyDescent="0.25" r="255" customHeight="1" ht="18">
      <c r="A255" s="33"/>
      <c r="B255" s="32"/>
      <c r="C255" s="77"/>
      <c r="D255" s="57"/>
      <c r="E255" s="57"/>
      <c r="F255" s="77"/>
      <c r="G255" s="33"/>
      <c r="H255" s="32"/>
      <c r="I255" s="77"/>
      <c r="J255" s="33"/>
      <c r="K255" s="32"/>
      <c r="L255" s="77"/>
      <c r="M255" s="33"/>
      <c r="N255" s="32"/>
      <c r="O255" s="77"/>
      <c r="P255" s="33"/>
      <c r="Q255" s="32"/>
      <c r="R255" s="77"/>
      <c r="S255" s="30"/>
      <c r="T255" s="30"/>
      <c r="U255" s="30"/>
      <c r="V255" s="33"/>
      <c r="W255" s="32"/>
      <c r="X255" s="77"/>
    </row>
    <row x14ac:dyDescent="0.25" r="256" customHeight="1" ht="18">
      <c r="A256" s="33"/>
      <c r="B256" s="32"/>
      <c r="C256" s="77"/>
      <c r="D256" s="57"/>
      <c r="E256" s="57"/>
      <c r="F256" s="77"/>
      <c r="G256" s="33"/>
      <c r="H256" s="32"/>
      <c r="I256" s="77"/>
      <c r="J256" s="33"/>
      <c r="K256" s="32"/>
      <c r="L256" s="77"/>
      <c r="M256" s="33"/>
      <c r="N256" s="32"/>
      <c r="O256" s="77"/>
      <c r="P256" s="33"/>
      <c r="Q256" s="32"/>
      <c r="R256" s="77"/>
      <c r="S256" s="30"/>
      <c r="T256" s="30"/>
      <c r="U256" s="30"/>
      <c r="V256" s="33"/>
      <c r="W256" s="32"/>
      <c r="X256" s="77"/>
    </row>
    <row x14ac:dyDescent="0.25" r="257" customHeight="1" ht="18">
      <c r="A257" s="33"/>
      <c r="B257" s="32"/>
      <c r="C257" s="77"/>
      <c r="D257" s="57"/>
      <c r="E257" s="57"/>
      <c r="F257" s="77"/>
      <c r="G257" s="33"/>
      <c r="H257" s="32"/>
      <c r="I257" s="77"/>
      <c r="J257" s="33"/>
      <c r="K257" s="32"/>
      <c r="L257" s="77"/>
      <c r="M257" s="33"/>
      <c r="N257" s="32"/>
      <c r="O257" s="77"/>
      <c r="P257" s="33"/>
      <c r="Q257" s="32"/>
      <c r="R257" s="77"/>
      <c r="S257" s="30"/>
      <c r="T257" s="30"/>
      <c r="U257" s="30"/>
      <c r="V257" s="33"/>
      <c r="W257" s="32"/>
      <c r="X257" s="77"/>
    </row>
    <row x14ac:dyDescent="0.25" r="258" customHeight="1" ht="18">
      <c r="A258" s="33"/>
      <c r="B258" s="32"/>
      <c r="C258" s="77"/>
      <c r="D258" s="57"/>
      <c r="E258" s="57"/>
      <c r="F258" s="77"/>
      <c r="G258" s="33"/>
      <c r="H258" s="32"/>
      <c r="I258" s="77"/>
      <c r="J258" s="33"/>
      <c r="K258" s="32"/>
      <c r="L258" s="77"/>
      <c r="M258" s="33"/>
      <c r="N258" s="32"/>
      <c r="O258" s="77"/>
      <c r="P258" s="33"/>
      <c r="Q258" s="32"/>
      <c r="R258" s="77"/>
      <c r="S258" s="30"/>
      <c r="T258" s="30"/>
      <c r="U258" s="30"/>
      <c r="V258" s="33"/>
      <c r="W258" s="32"/>
      <c r="X258" s="77"/>
    </row>
    <row x14ac:dyDescent="0.25" r="259" customHeight="1" ht="18">
      <c r="A259" s="33"/>
      <c r="B259" s="32"/>
      <c r="C259" s="77"/>
      <c r="D259" s="57"/>
      <c r="E259" s="57"/>
      <c r="F259" s="77"/>
      <c r="G259" s="33"/>
      <c r="H259" s="32"/>
      <c r="I259" s="77"/>
      <c r="J259" s="33"/>
      <c r="K259" s="32"/>
      <c r="L259" s="77"/>
      <c r="M259" s="33"/>
      <c r="N259" s="32"/>
      <c r="O259" s="77"/>
      <c r="P259" s="33"/>
      <c r="Q259" s="32"/>
      <c r="R259" s="77"/>
      <c r="S259" s="30"/>
      <c r="T259" s="30"/>
      <c r="U259" s="30"/>
      <c r="V259" s="33"/>
      <c r="W259" s="32"/>
      <c r="X259" s="77"/>
    </row>
    <row x14ac:dyDescent="0.25" r="260" customHeight="1" ht="18">
      <c r="A260" s="33"/>
      <c r="B260" s="32"/>
      <c r="C260" s="77"/>
      <c r="D260" s="57"/>
      <c r="E260" s="57"/>
      <c r="F260" s="77"/>
      <c r="G260" s="33"/>
      <c r="H260" s="32"/>
      <c r="I260" s="77"/>
      <c r="J260" s="33"/>
      <c r="K260" s="32"/>
      <c r="L260" s="77"/>
      <c r="M260" s="33"/>
      <c r="N260" s="32"/>
      <c r="O260" s="77"/>
      <c r="P260" s="33"/>
      <c r="Q260" s="32"/>
      <c r="R260" s="77"/>
      <c r="S260" s="30"/>
      <c r="T260" s="30"/>
      <c r="U260" s="30"/>
      <c r="V260" s="33"/>
      <c r="W260" s="32"/>
      <c r="X260" s="77"/>
    </row>
    <row x14ac:dyDescent="0.25" r="261" customHeight="1" ht="18">
      <c r="A261" s="33"/>
      <c r="B261" s="32"/>
      <c r="C261" s="77"/>
      <c r="D261" s="57"/>
      <c r="E261" s="57"/>
      <c r="F261" s="77"/>
      <c r="G261" s="33"/>
      <c r="H261" s="32"/>
      <c r="I261" s="77"/>
      <c r="J261" s="33"/>
      <c r="K261" s="32"/>
      <c r="L261" s="77"/>
      <c r="M261" s="33"/>
      <c r="N261" s="32"/>
      <c r="O261" s="77"/>
      <c r="P261" s="33"/>
      <c r="Q261" s="32"/>
      <c r="R261" s="77"/>
      <c r="S261" s="30"/>
      <c r="T261" s="30"/>
      <c r="U261" s="30"/>
      <c r="V261" s="33"/>
      <c r="W261" s="32"/>
      <c r="X261" s="77"/>
    </row>
    <row x14ac:dyDescent="0.25" r="262" customHeight="1" ht="18">
      <c r="A262" s="33"/>
      <c r="B262" s="32"/>
      <c r="C262" s="77"/>
      <c r="D262" s="57"/>
      <c r="E262" s="57"/>
      <c r="F262" s="77"/>
      <c r="G262" s="33"/>
      <c r="H262" s="32"/>
      <c r="I262" s="77"/>
      <c r="J262" s="33"/>
      <c r="K262" s="32"/>
      <c r="L262" s="77"/>
      <c r="M262" s="33"/>
      <c r="N262" s="32"/>
      <c r="O262" s="77"/>
      <c r="P262" s="33"/>
      <c r="Q262" s="32"/>
      <c r="R262" s="77"/>
      <c r="S262" s="30"/>
      <c r="T262" s="30"/>
      <c r="U262" s="30"/>
      <c r="V262" s="33"/>
      <c r="W262" s="32"/>
      <c r="X262" s="77"/>
    </row>
    <row x14ac:dyDescent="0.25" r="263" customHeight="1" ht="18">
      <c r="A263" s="33"/>
      <c r="B263" s="32"/>
      <c r="C263" s="77"/>
      <c r="D263" s="57"/>
      <c r="E263" s="57"/>
      <c r="F263" s="77"/>
      <c r="G263" s="33"/>
      <c r="H263" s="32"/>
      <c r="I263" s="77"/>
      <c r="J263" s="33"/>
      <c r="K263" s="32"/>
      <c r="L263" s="77"/>
      <c r="M263" s="33"/>
      <c r="N263" s="32"/>
      <c r="O263" s="77"/>
      <c r="P263" s="33"/>
      <c r="Q263" s="32"/>
      <c r="R263" s="77"/>
      <c r="S263" s="30"/>
      <c r="T263" s="30"/>
      <c r="U263" s="30"/>
      <c r="V263" s="33"/>
      <c r="W263" s="32"/>
      <c r="X263" s="77"/>
    </row>
    <row x14ac:dyDescent="0.25" r="264" customHeight="1" ht="18">
      <c r="A264" s="33"/>
      <c r="B264" s="32"/>
      <c r="C264" s="77"/>
      <c r="D264" s="57"/>
      <c r="E264" s="57"/>
      <c r="F264" s="77"/>
      <c r="G264" s="33"/>
      <c r="H264" s="32"/>
      <c r="I264" s="77"/>
      <c r="J264" s="33"/>
      <c r="K264" s="32"/>
      <c r="L264" s="77"/>
      <c r="M264" s="33"/>
      <c r="N264" s="32"/>
      <c r="O264" s="77"/>
      <c r="P264" s="33"/>
      <c r="Q264" s="32"/>
      <c r="R264" s="77"/>
      <c r="S264" s="30"/>
      <c r="T264" s="30"/>
      <c r="U264" s="30"/>
      <c r="V264" s="33"/>
      <c r="W264" s="32"/>
      <c r="X264" s="77"/>
    </row>
    <row x14ac:dyDescent="0.25" r="265" customHeight="1" ht="18">
      <c r="A265" s="33"/>
      <c r="B265" s="32"/>
      <c r="C265" s="77"/>
      <c r="D265" s="57"/>
      <c r="E265" s="57"/>
      <c r="F265" s="77"/>
      <c r="G265" s="33"/>
      <c r="H265" s="32"/>
      <c r="I265" s="77"/>
      <c r="J265" s="33"/>
      <c r="K265" s="32"/>
      <c r="L265" s="77"/>
      <c r="M265" s="33"/>
      <c r="N265" s="32"/>
      <c r="O265" s="77"/>
      <c r="P265" s="33"/>
      <c r="Q265" s="32"/>
      <c r="R265" s="77"/>
      <c r="S265" s="30"/>
      <c r="T265" s="30"/>
      <c r="U265" s="30"/>
      <c r="V265" s="33"/>
      <c r="W265" s="32"/>
      <c r="X265" s="77"/>
    </row>
    <row x14ac:dyDescent="0.25" r="266" customHeight="1" ht="18">
      <c r="A266" s="33"/>
      <c r="B266" s="32"/>
      <c r="C266" s="77"/>
      <c r="D266" s="57"/>
      <c r="E266" s="57"/>
      <c r="F266" s="77"/>
      <c r="G266" s="33"/>
      <c r="H266" s="32"/>
      <c r="I266" s="77"/>
      <c r="J266" s="33"/>
      <c r="K266" s="32"/>
      <c r="L266" s="77"/>
      <c r="M266" s="33"/>
      <c r="N266" s="32"/>
      <c r="O266" s="77"/>
      <c r="P266" s="33"/>
      <c r="Q266" s="32"/>
      <c r="R266" s="77"/>
      <c r="S266" s="30"/>
      <c r="T266" s="30"/>
      <c r="U266" s="30"/>
      <c r="V266" s="33"/>
      <c r="W266" s="32"/>
      <c r="X266" s="77"/>
    </row>
    <row x14ac:dyDescent="0.25" r="267" customHeight="1" ht="18">
      <c r="A267" s="33"/>
      <c r="B267" s="32"/>
      <c r="C267" s="77"/>
      <c r="D267" s="57"/>
      <c r="E267" s="57"/>
      <c r="F267" s="77"/>
      <c r="G267" s="33"/>
      <c r="H267" s="32"/>
      <c r="I267" s="77"/>
      <c r="J267" s="33"/>
      <c r="K267" s="32"/>
      <c r="L267" s="77"/>
      <c r="M267" s="33"/>
      <c r="N267" s="32"/>
      <c r="O267" s="77"/>
      <c r="P267" s="33"/>
      <c r="Q267" s="32"/>
      <c r="R267" s="77"/>
      <c r="S267" s="30"/>
      <c r="T267" s="30"/>
      <c r="U267" s="30"/>
      <c r="V267" s="33"/>
      <c r="W267" s="32"/>
      <c r="X267" s="77"/>
    </row>
    <row x14ac:dyDescent="0.25" r="268" customHeight="1" ht="18">
      <c r="A268" s="33"/>
      <c r="B268" s="32"/>
      <c r="C268" s="77"/>
      <c r="D268" s="57"/>
      <c r="E268" s="57"/>
      <c r="F268" s="77"/>
      <c r="G268" s="33"/>
      <c r="H268" s="32"/>
      <c r="I268" s="77"/>
      <c r="J268" s="33"/>
      <c r="K268" s="32"/>
      <c r="L268" s="77"/>
      <c r="M268" s="33"/>
      <c r="N268" s="32"/>
      <c r="O268" s="77"/>
      <c r="P268" s="33"/>
      <c r="Q268" s="32"/>
      <c r="R268" s="77"/>
      <c r="S268" s="30"/>
      <c r="T268" s="30"/>
      <c r="U268" s="30"/>
      <c r="V268" s="33"/>
      <c r="W268" s="32"/>
      <c r="X268" s="77"/>
    </row>
    <row x14ac:dyDescent="0.25" r="269" customHeight="1" ht="18">
      <c r="A269" s="33"/>
      <c r="B269" s="32"/>
      <c r="C269" s="77"/>
      <c r="D269" s="57"/>
      <c r="E269" s="57"/>
      <c r="F269" s="77"/>
      <c r="G269" s="33"/>
      <c r="H269" s="32"/>
      <c r="I269" s="77"/>
      <c r="J269" s="33"/>
      <c r="K269" s="32"/>
      <c r="L269" s="77"/>
      <c r="M269" s="33"/>
      <c r="N269" s="32"/>
      <c r="O269" s="77"/>
      <c r="P269" s="33"/>
      <c r="Q269" s="32"/>
      <c r="R269" s="77"/>
      <c r="S269" s="30"/>
      <c r="T269" s="30"/>
      <c r="U269" s="30"/>
      <c r="V269" s="33"/>
      <c r="W269" s="32"/>
      <c r="X269" s="77"/>
    </row>
    <row x14ac:dyDescent="0.25" r="270" customHeight="1" ht="18">
      <c r="A270" s="33"/>
      <c r="B270" s="32"/>
      <c r="C270" s="77"/>
      <c r="D270" s="57"/>
      <c r="E270" s="57"/>
      <c r="F270" s="77"/>
      <c r="G270" s="33"/>
      <c r="H270" s="32"/>
      <c r="I270" s="77"/>
      <c r="J270" s="33"/>
      <c r="K270" s="32"/>
      <c r="L270" s="77"/>
      <c r="M270" s="33"/>
      <c r="N270" s="32"/>
      <c r="O270" s="77"/>
      <c r="P270" s="33"/>
      <c r="Q270" s="32"/>
      <c r="R270" s="77"/>
      <c r="S270" s="30"/>
      <c r="T270" s="30"/>
      <c r="U270" s="30"/>
      <c r="V270" s="33"/>
      <c r="W270" s="32"/>
      <c r="X270" s="77"/>
    </row>
    <row x14ac:dyDescent="0.25" r="271" customHeight="1" ht="18">
      <c r="A271" s="33"/>
      <c r="B271" s="32"/>
      <c r="C271" s="77"/>
      <c r="D271" s="57"/>
      <c r="E271" s="57"/>
      <c r="F271" s="77"/>
      <c r="G271" s="33"/>
      <c r="H271" s="32"/>
      <c r="I271" s="77"/>
      <c r="J271" s="33"/>
      <c r="K271" s="32"/>
      <c r="L271" s="77"/>
      <c r="M271" s="33"/>
      <c r="N271" s="32"/>
      <c r="O271" s="77"/>
      <c r="P271" s="33"/>
      <c r="Q271" s="32"/>
      <c r="R271" s="77"/>
      <c r="S271" s="30"/>
      <c r="T271" s="30"/>
      <c r="U271" s="30"/>
      <c r="V271" s="33"/>
      <c r="W271" s="32"/>
      <c r="X271" s="77"/>
    </row>
    <row x14ac:dyDescent="0.25" r="272" customHeight="1" ht="18">
      <c r="A272" s="33"/>
      <c r="B272" s="32"/>
      <c r="C272" s="77"/>
      <c r="D272" s="57"/>
      <c r="E272" s="57"/>
      <c r="F272" s="77"/>
      <c r="G272" s="33"/>
      <c r="H272" s="32"/>
      <c r="I272" s="77"/>
      <c r="J272" s="33"/>
      <c r="K272" s="32"/>
      <c r="L272" s="77"/>
      <c r="M272" s="33"/>
      <c r="N272" s="32"/>
      <c r="O272" s="77"/>
      <c r="P272" s="33"/>
      <c r="Q272" s="32"/>
      <c r="R272" s="77"/>
      <c r="S272" s="30"/>
      <c r="T272" s="30"/>
      <c r="U272" s="30"/>
      <c r="V272" s="33"/>
      <c r="W272" s="32"/>
      <c r="X272" s="77"/>
    </row>
    <row x14ac:dyDescent="0.25" r="273" customHeight="1" ht="18">
      <c r="A273" s="33"/>
      <c r="B273" s="32"/>
      <c r="C273" s="77"/>
      <c r="D273" s="57"/>
      <c r="E273" s="57"/>
      <c r="F273" s="77"/>
      <c r="G273" s="33"/>
      <c r="H273" s="32"/>
      <c r="I273" s="77"/>
      <c r="J273" s="33"/>
      <c r="K273" s="32"/>
      <c r="L273" s="77"/>
      <c r="M273" s="33"/>
      <c r="N273" s="32"/>
      <c r="O273" s="77"/>
      <c r="P273" s="33"/>
      <c r="Q273" s="32"/>
      <c r="R273" s="77"/>
      <c r="S273" s="30"/>
      <c r="T273" s="30"/>
      <c r="U273" s="30"/>
      <c r="V273" s="33"/>
      <c r="W273" s="32"/>
      <c r="X273" s="77"/>
    </row>
    <row x14ac:dyDescent="0.25" r="274" customHeight="1" ht="18">
      <c r="A274" s="33"/>
      <c r="B274" s="32"/>
      <c r="C274" s="77"/>
      <c r="D274" s="57"/>
      <c r="E274" s="57"/>
      <c r="F274" s="77"/>
      <c r="G274" s="33"/>
      <c r="H274" s="32"/>
      <c r="I274" s="77"/>
      <c r="J274" s="33"/>
      <c r="K274" s="32"/>
      <c r="L274" s="77"/>
      <c r="M274" s="33"/>
      <c r="N274" s="32"/>
      <c r="O274" s="77"/>
      <c r="P274" s="33"/>
      <c r="Q274" s="32"/>
      <c r="R274" s="77"/>
      <c r="S274" s="30"/>
      <c r="T274" s="30"/>
      <c r="U274" s="30"/>
      <c r="V274" s="33"/>
      <c r="W274" s="32"/>
      <c r="X274" s="77"/>
    </row>
    <row x14ac:dyDescent="0.25" r="275" customHeight="1" ht="18">
      <c r="A275" s="33"/>
      <c r="B275" s="32"/>
      <c r="C275" s="77"/>
      <c r="D275" s="57"/>
      <c r="E275" s="57"/>
      <c r="F275" s="77"/>
      <c r="G275" s="33"/>
      <c r="H275" s="32"/>
      <c r="I275" s="77"/>
      <c r="J275" s="33"/>
      <c r="K275" s="32"/>
      <c r="L275" s="77"/>
      <c r="M275" s="33"/>
      <c r="N275" s="32"/>
      <c r="O275" s="77"/>
      <c r="P275" s="33"/>
      <c r="Q275" s="32"/>
      <c r="R275" s="77"/>
      <c r="S275" s="30"/>
      <c r="T275" s="30"/>
      <c r="U275" s="30"/>
      <c r="V275" s="33"/>
      <c r="W275" s="32"/>
      <c r="X275" s="77"/>
    </row>
    <row x14ac:dyDescent="0.25" r="276" customHeight="1" ht="18">
      <c r="A276" s="33"/>
      <c r="B276" s="32"/>
      <c r="C276" s="77"/>
      <c r="D276" s="57"/>
      <c r="E276" s="57"/>
      <c r="F276" s="77"/>
      <c r="G276" s="33"/>
      <c r="H276" s="32"/>
      <c r="I276" s="77"/>
      <c r="J276" s="33"/>
      <c r="K276" s="32"/>
      <c r="L276" s="77"/>
      <c r="M276" s="33"/>
      <c r="N276" s="32"/>
      <c r="O276" s="77"/>
      <c r="P276" s="33"/>
      <c r="Q276" s="32"/>
      <c r="R276" s="77"/>
      <c r="S276" s="30"/>
      <c r="T276" s="30"/>
      <c r="U276" s="30"/>
      <c r="V276" s="33"/>
      <c r="W276" s="32"/>
      <c r="X276" s="77"/>
    </row>
    <row x14ac:dyDescent="0.25" r="277" customHeight="1" ht="18">
      <c r="A277" s="33"/>
      <c r="B277" s="32"/>
      <c r="C277" s="77"/>
      <c r="D277" s="57"/>
      <c r="E277" s="57"/>
      <c r="F277" s="77"/>
      <c r="G277" s="33"/>
      <c r="H277" s="32"/>
      <c r="I277" s="77"/>
      <c r="J277" s="33"/>
      <c r="K277" s="32"/>
      <c r="L277" s="77"/>
      <c r="M277" s="33"/>
      <c r="N277" s="32"/>
      <c r="O277" s="77"/>
      <c r="P277" s="33"/>
      <c r="Q277" s="32"/>
      <c r="R277" s="77"/>
      <c r="S277" s="30"/>
      <c r="T277" s="30"/>
      <c r="U277" s="30"/>
      <c r="V277" s="33"/>
      <c r="W277" s="32"/>
      <c r="X277" s="77"/>
    </row>
    <row x14ac:dyDescent="0.25" r="278" customHeight="1" ht="18">
      <c r="A278" s="33"/>
      <c r="B278" s="32"/>
      <c r="C278" s="77"/>
      <c r="D278" s="57"/>
      <c r="E278" s="57"/>
      <c r="F278" s="77"/>
      <c r="G278" s="33"/>
      <c r="H278" s="32"/>
      <c r="I278" s="77"/>
      <c r="J278" s="33"/>
      <c r="K278" s="32"/>
      <c r="L278" s="77"/>
      <c r="M278" s="33"/>
      <c r="N278" s="32"/>
      <c r="O278" s="77"/>
      <c r="P278" s="33"/>
      <c r="Q278" s="32"/>
      <c r="R278" s="77"/>
      <c r="S278" s="30"/>
      <c r="T278" s="30"/>
      <c r="U278" s="30"/>
      <c r="V278" s="33"/>
      <c r="W278" s="32"/>
      <c r="X278" s="77"/>
    </row>
    <row x14ac:dyDescent="0.25" r="279" customHeight="1" ht="18">
      <c r="A279" s="33"/>
      <c r="B279" s="32"/>
      <c r="C279" s="77"/>
      <c r="D279" s="57"/>
      <c r="E279" s="57"/>
      <c r="F279" s="77"/>
      <c r="G279" s="33"/>
      <c r="H279" s="32"/>
      <c r="I279" s="77"/>
      <c r="J279" s="33"/>
      <c r="K279" s="32"/>
      <c r="L279" s="77"/>
      <c r="M279" s="33"/>
      <c r="N279" s="32"/>
      <c r="O279" s="77"/>
      <c r="P279" s="33"/>
      <c r="Q279" s="32"/>
      <c r="R279" s="77"/>
      <c r="S279" s="30"/>
      <c r="T279" s="30"/>
      <c r="U279" s="30"/>
      <c r="V279" s="33"/>
      <c r="W279" s="32"/>
      <c r="X279" s="77"/>
    </row>
    <row x14ac:dyDescent="0.25" r="280" customHeight="1" ht="18">
      <c r="A280" s="33"/>
      <c r="B280" s="32"/>
      <c r="C280" s="77"/>
      <c r="D280" s="57"/>
      <c r="E280" s="57"/>
      <c r="F280" s="77"/>
      <c r="G280" s="33"/>
      <c r="H280" s="32"/>
      <c r="I280" s="77"/>
      <c r="J280" s="33"/>
      <c r="K280" s="32"/>
      <c r="L280" s="77"/>
      <c r="M280" s="33"/>
      <c r="N280" s="32"/>
      <c r="O280" s="77"/>
      <c r="P280" s="33"/>
      <c r="Q280" s="32"/>
      <c r="R280" s="77"/>
      <c r="S280" s="30"/>
      <c r="T280" s="30"/>
      <c r="U280" s="30"/>
      <c r="V280" s="33"/>
      <c r="W280" s="32"/>
      <c r="X280" s="77"/>
    </row>
    <row x14ac:dyDescent="0.25" r="281" customHeight="1" ht="18">
      <c r="A281" s="33"/>
      <c r="B281" s="32"/>
      <c r="C281" s="77"/>
      <c r="D281" s="57"/>
      <c r="E281" s="57"/>
      <c r="F281" s="77"/>
      <c r="G281" s="33"/>
      <c r="H281" s="32"/>
      <c r="I281" s="77"/>
      <c r="J281" s="33"/>
      <c r="K281" s="32"/>
      <c r="L281" s="77"/>
      <c r="M281" s="33"/>
      <c r="N281" s="32"/>
      <c r="O281" s="77"/>
      <c r="P281" s="33"/>
      <c r="Q281" s="32"/>
      <c r="R281" s="77"/>
      <c r="S281" s="30"/>
      <c r="T281" s="30"/>
      <c r="U281" s="30"/>
      <c r="V281" s="33"/>
      <c r="W281" s="32"/>
      <c r="X281" s="77"/>
    </row>
    <row x14ac:dyDescent="0.25" r="282" customHeight="1" ht="18">
      <c r="A282" s="33"/>
      <c r="B282" s="32"/>
      <c r="C282" s="77"/>
      <c r="D282" s="57"/>
      <c r="E282" s="57"/>
      <c r="F282" s="77"/>
      <c r="G282" s="33"/>
      <c r="H282" s="32"/>
      <c r="I282" s="77"/>
      <c r="J282" s="33"/>
      <c r="K282" s="32"/>
      <c r="L282" s="77"/>
      <c r="M282" s="33"/>
      <c r="N282" s="32"/>
      <c r="O282" s="77"/>
      <c r="P282" s="33"/>
      <c r="Q282" s="32"/>
      <c r="R282" s="77"/>
      <c r="S282" s="30"/>
      <c r="T282" s="30"/>
      <c r="U282" s="30"/>
      <c r="V282" s="33"/>
      <c r="W282" s="32"/>
      <c r="X282" s="77"/>
    </row>
    <row x14ac:dyDescent="0.25" r="283" customHeight="1" ht="18">
      <c r="A283" s="33"/>
      <c r="B283" s="32"/>
      <c r="C283" s="77"/>
      <c r="D283" s="57"/>
      <c r="E283" s="57"/>
      <c r="F283" s="77"/>
      <c r="G283" s="33"/>
      <c r="H283" s="32"/>
      <c r="I283" s="77"/>
      <c r="J283" s="33"/>
      <c r="K283" s="32"/>
      <c r="L283" s="77"/>
      <c r="M283" s="33"/>
      <c r="N283" s="32"/>
      <c r="O283" s="77"/>
      <c r="P283" s="33"/>
      <c r="Q283" s="32"/>
      <c r="R283" s="77"/>
      <c r="S283" s="30"/>
      <c r="T283" s="30"/>
      <c r="U283" s="30"/>
      <c r="V283" s="33"/>
      <c r="W283" s="32"/>
      <c r="X283" s="77"/>
    </row>
    <row x14ac:dyDescent="0.25" r="284" customHeight="1" ht="18">
      <c r="A284" s="33"/>
      <c r="B284" s="32"/>
      <c r="C284" s="77"/>
      <c r="D284" s="57"/>
      <c r="E284" s="57"/>
      <c r="F284" s="77"/>
      <c r="G284" s="33"/>
      <c r="H284" s="32"/>
      <c r="I284" s="77"/>
      <c r="J284" s="33"/>
      <c r="K284" s="32"/>
      <c r="L284" s="77"/>
      <c r="M284" s="33"/>
      <c r="N284" s="32"/>
      <c r="O284" s="77"/>
      <c r="P284" s="33"/>
      <c r="Q284" s="32"/>
      <c r="R284" s="77"/>
      <c r="S284" s="30"/>
      <c r="T284" s="30"/>
      <c r="U284" s="30"/>
      <c r="V284" s="33"/>
      <c r="W284" s="32"/>
      <c r="X284" s="77"/>
    </row>
    <row x14ac:dyDescent="0.25" r="285" customHeight="1" ht="18">
      <c r="A285" s="33"/>
      <c r="B285" s="32"/>
      <c r="C285" s="77"/>
      <c r="D285" s="57"/>
      <c r="E285" s="57"/>
      <c r="F285" s="77"/>
      <c r="G285" s="33"/>
      <c r="H285" s="32"/>
      <c r="I285" s="77"/>
      <c r="J285" s="33"/>
      <c r="K285" s="32"/>
      <c r="L285" s="77"/>
      <c r="M285" s="33"/>
      <c r="N285" s="32"/>
      <c r="O285" s="77"/>
      <c r="P285" s="33"/>
      <c r="Q285" s="32"/>
      <c r="R285" s="77"/>
      <c r="S285" s="30"/>
      <c r="T285" s="30"/>
      <c r="U285" s="30"/>
      <c r="V285" s="33"/>
      <c r="W285" s="32"/>
      <c r="X285" s="77"/>
    </row>
    <row x14ac:dyDescent="0.25" r="286" customHeight="1" ht="18">
      <c r="A286" s="33"/>
      <c r="B286" s="32"/>
      <c r="C286" s="77"/>
      <c r="D286" s="57"/>
      <c r="E286" s="57"/>
      <c r="F286" s="77"/>
      <c r="G286" s="33"/>
      <c r="H286" s="32"/>
      <c r="I286" s="77"/>
      <c r="J286" s="33"/>
      <c r="K286" s="32"/>
      <c r="L286" s="77"/>
      <c r="M286" s="33"/>
      <c r="N286" s="32"/>
      <c r="O286" s="77"/>
      <c r="P286" s="33"/>
      <c r="Q286" s="32"/>
      <c r="R286" s="77"/>
      <c r="S286" s="30"/>
      <c r="T286" s="30"/>
      <c r="U286" s="30"/>
      <c r="V286" s="33"/>
      <c r="W286" s="32"/>
      <c r="X286" s="77"/>
    </row>
    <row x14ac:dyDescent="0.25" r="287" customHeight="1" ht="18">
      <c r="A287" s="33"/>
      <c r="B287" s="32"/>
      <c r="C287" s="77"/>
      <c r="D287" s="57"/>
      <c r="E287" s="57"/>
      <c r="F287" s="77"/>
      <c r="G287" s="33"/>
      <c r="H287" s="32"/>
      <c r="I287" s="77"/>
      <c r="J287" s="33"/>
      <c r="K287" s="32"/>
      <c r="L287" s="77"/>
      <c r="M287" s="33"/>
      <c r="N287" s="32"/>
      <c r="O287" s="77"/>
      <c r="P287" s="33"/>
      <c r="Q287" s="32"/>
      <c r="R287" s="77"/>
      <c r="S287" s="30"/>
      <c r="T287" s="30"/>
      <c r="U287" s="30"/>
      <c r="V287" s="33"/>
      <c r="W287" s="32"/>
      <c r="X287" s="77"/>
    </row>
    <row x14ac:dyDescent="0.25" r="288" customHeight="1" ht="18">
      <c r="A288" s="33"/>
      <c r="B288" s="32"/>
      <c r="C288" s="77"/>
      <c r="D288" s="57"/>
      <c r="E288" s="57"/>
      <c r="F288" s="77"/>
      <c r="G288" s="33"/>
      <c r="H288" s="32"/>
      <c r="I288" s="77"/>
      <c r="J288" s="33"/>
      <c r="K288" s="32"/>
      <c r="L288" s="77"/>
      <c r="M288" s="33"/>
      <c r="N288" s="32"/>
      <c r="O288" s="77"/>
      <c r="P288" s="33"/>
      <c r="Q288" s="32"/>
      <c r="R288" s="77"/>
      <c r="S288" s="30"/>
      <c r="T288" s="30"/>
      <c r="U288" s="30"/>
      <c r="V288" s="33"/>
      <c r="W288" s="32"/>
      <c r="X288" s="77"/>
    </row>
    <row x14ac:dyDescent="0.25" r="289" customHeight="1" ht="18">
      <c r="A289" s="33"/>
      <c r="B289" s="32"/>
      <c r="C289" s="77"/>
      <c r="D289" s="57"/>
      <c r="E289" s="57"/>
      <c r="F289" s="77"/>
      <c r="G289" s="33"/>
      <c r="H289" s="32"/>
      <c r="I289" s="77"/>
      <c r="J289" s="33"/>
      <c r="K289" s="32"/>
      <c r="L289" s="77"/>
      <c r="M289" s="33"/>
      <c r="N289" s="32"/>
      <c r="O289" s="77"/>
      <c r="P289" s="33"/>
      <c r="Q289" s="32"/>
      <c r="R289" s="77"/>
      <c r="S289" s="30"/>
      <c r="T289" s="30"/>
      <c r="U289" s="30"/>
      <c r="V289" s="33"/>
      <c r="W289" s="32"/>
      <c r="X289" s="77"/>
    </row>
    <row x14ac:dyDescent="0.25" r="290" customHeight="1" ht="18">
      <c r="A290" s="33"/>
      <c r="B290" s="32"/>
      <c r="C290" s="77"/>
      <c r="D290" s="57"/>
      <c r="E290" s="57"/>
      <c r="F290" s="77"/>
      <c r="G290" s="33"/>
      <c r="H290" s="32"/>
      <c r="I290" s="77"/>
      <c r="J290" s="33"/>
      <c r="K290" s="32"/>
      <c r="L290" s="77"/>
      <c r="M290" s="33"/>
      <c r="N290" s="32"/>
      <c r="O290" s="77"/>
      <c r="P290" s="33"/>
      <c r="Q290" s="32"/>
      <c r="R290" s="77"/>
      <c r="S290" s="30"/>
      <c r="T290" s="30"/>
      <c r="U290" s="30"/>
      <c r="V290" s="33"/>
      <c r="W290" s="32"/>
      <c r="X290" s="77"/>
    </row>
    <row x14ac:dyDescent="0.25" r="291" customHeight="1" ht="18">
      <c r="A291" s="33"/>
      <c r="B291" s="32"/>
      <c r="C291" s="77"/>
      <c r="D291" s="57"/>
      <c r="E291" s="57"/>
      <c r="F291" s="77"/>
      <c r="G291" s="33"/>
      <c r="H291" s="32"/>
      <c r="I291" s="77"/>
      <c r="J291" s="33"/>
      <c r="K291" s="32"/>
      <c r="L291" s="77"/>
      <c r="M291" s="33"/>
      <c r="N291" s="32"/>
      <c r="O291" s="77"/>
      <c r="P291" s="33"/>
      <c r="Q291" s="32"/>
      <c r="R291" s="77"/>
      <c r="S291" s="30"/>
      <c r="T291" s="30"/>
      <c r="U291" s="30"/>
      <c r="V291" s="33"/>
      <c r="W291" s="32"/>
      <c r="X291" s="77"/>
    </row>
    <row x14ac:dyDescent="0.25" r="292" customHeight="1" ht="18">
      <c r="A292" s="33"/>
      <c r="B292" s="32"/>
      <c r="C292" s="77"/>
      <c r="D292" s="57"/>
      <c r="E292" s="57"/>
      <c r="F292" s="77"/>
      <c r="G292" s="33"/>
      <c r="H292" s="32"/>
      <c r="I292" s="77"/>
      <c r="J292" s="33"/>
      <c r="K292" s="32"/>
      <c r="L292" s="77"/>
      <c r="M292" s="33"/>
      <c r="N292" s="32"/>
      <c r="O292" s="77"/>
      <c r="P292" s="33"/>
      <c r="Q292" s="32"/>
      <c r="R292" s="77"/>
      <c r="S292" s="30"/>
      <c r="T292" s="30"/>
      <c r="U292" s="30"/>
      <c r="V292" s="33"/>
      <c r="W292" s="32"/>
      <c r="X292" s="77"/>
    </row>
    <row x14ac:dyDescent="0.25" r="293" customHeight="1" ht="18">
      <c r="A293" s="33"/>
      <c r="B293" s="32"/>
      <c r="C293" s="77"/>
      <c r="D293" s="57"/>
      <c r="E293" s="57"/>
      <c r="F293" s="77"/>
      <c r="G293" s="33"/>
      <c r="H293" s="32"/>
      <c r="I293" s="77"/>
      <c r="J293" s="33"/>
      <c r="K293" s="32"/>
      <c r="L293" s="77"/>
      <c r="M293" s="33"/>
      <c r="N293" s="32"/>
      <c r="O293" s="77"/>
      <c r="P293" s="33"/>
      <c r="Q293" s="32"/>
      <c r="R293" s="77"/>
      <c r="S293" s="30"/>
      <c r="T293" s="30"/>
      <c r="U293" s="30"/>
      <c r="V293" s="33"/>
      <c r="W293" s="32"/>
      <c r="X293" s="77"/>
    </row>
    <row x14ac:dyDescent="0.25" r="294" customHeight="1" ht="18">
      <c r="A294" s="33"/>
      <c r="B294" s="32"/>
      <c r="C294" s="77"/>
      <c r="D294" s="57"/>
      <c r="E294" s="57"/>
      <c r="F294" s="77"/>
      <c r="G294" s="33"/>
      <c r="H294" s="32"/>
      <c r="I294" s="77"/>
      <c r="J294" s="33"/>
      <c r="K294" s="32"/>
      <c r="L294" s="77"/>
      <c r="M294" s="33"/>
      <c r="N294" s="32"/>
      <c r="O294" s="77"/>
      <c r="P294" s="33"/>
      <c r="Q294" s="32"/>
      <c r="R294" s="77"/>
      <c r="S294" s="30"/>
      <c r="T294" s="30"/>
      <c r="U294" s="30"/>
      <c r="V294" s="33"/>
      <c r="W294" s="32"/>
      <c r="X294" s="77"/>
    </row>
    <row x14ac:dyDescent="0.25" r="295" customHeight="1" ht="18">
      <c r="A295" s="33"/>
      <c r="B295" s="32"/>
      <c r="C295" s="77"/>
      <c r="D295" s="57"/>
      <c r="E295" s="57"/>
      <c r="F295" s="77"/>
      <c r="G295" s="33"/>
      <c r="H295" s="32"/>
      <c r="I295" s="77"/>
      <c r="J295" s="33"/>
      <c r="K295" s="32"/>
      <c r="L295" s="77"/>
      <c r="M295" s="33"/>
      <c r="N295" s="32"/>
      <c r="O295" s="77"/>
      <c r="P295" s="33"/>
      <c r="Q295" s="32"/>
      <c r="R295" s="77"/>
      <c r="S295" s="30"/>
      <c r="T295" s="30"/>
      <c r="U295" s="30"/>
      <c r="V295" s="33"/>
      <c r="W295" s="32"/>
      <c r="X295" s="77"/>
    </row>
    <row x14ac:dyDescent="0.25" r="296" customHeight="1" ht="18">
      <c r="A296" s="33"/>
      <c r="B296" s="32"/>
      <c r="C296" s="77"/>
      <c r="D296" s="57"/>
      <c r="E296" s="57"/>
      <c r="F296" s="77"/>
      <c r="G296" s="33"/>
      <c r="H296" s="32"/>
      <c r="I296" s="77"/>
      <c r="J296" s="33"/>
      <c r="K296" s="32"/>
      <c r="L296" s="77"/>
      <c r="M296" s="33"/>
      <c r="N296" s="32"/>
      <c r="O296" s="77"/>
      <c r="P296" s="33"/>
      <c r="Q296" s="32"/>
      <c r="R296" s="77"/>
      <c r="S296" s="30"/>
      <c r="T296" s="30"/>
      <c r="U296" s="30"/>
      <c r="V296" s="33"/>
      <c r="W296" s="32"/>
      <c r="X296" s="77"/>
    </row>
    <row x14ac:dyDescent="0.25" r="297" customHeight="1" ht="18">
      <c r="A297" s="33"/>
      <c r="B297" s="32"/>
      <c r="C297" s="77"/>
      <c r="D297" s="57"/>
      <c r="E297" s="57"/>
      <c r="F297" s="77"/>
      <c r="G297" s="33"/>
      <c r="H297" s="32"/>
      <c r="I297" s="77"/>
      <c r="J297" s="33"/>
      <c r="K297" s="32"/>
      <c r="L297" s="77"/>
      <c r="M297" s="33"/>
      <c r="N297" s="32"/>
      <c r="O297" s="77"/>
      <c r="P297" s="33"/>
      <c r="Q297" s="32"/>
      <c r="R297" s="77"/>
      <c r="S297" s="30"/>
      <c r="T297" s="30"/>
      <c r="U297" s="30"/>
      <c r="V297" s="33"/>
      <c r="W297" s="32"/>
      <c r="X297" s="77"/>
    </row>
    <row x14ac:dyDescent="0.25" r="298" customHeight="1" ht="18">
      <c r="A298" s="33"/>
      <c r="B298" s="32"/>
      <c r="C298" s="77"/>
      <c r="D298" s="57"/>
      <c r="E298" s="57"/>
      <c r="F298" s="77"/>
      <c r="G298" s="33"/>
      <c r="H298" s="32"/>
      <c r="I298" s="77"/>
      <c r="J298" s="33"/>
      <c r="K298" s="32"/>
      <c r="L298" s="77"/>
      <c r="M298" s="33"/>
      <c r="N298" s="32"/>
      <c r="O298" s="77"/>
      <c r="P298" s="33"/>
      <c r="Q298" s="32"/>
      <c r="R298" s="77"/>
      <c r="S298" s="30"/>
      <c r="T298" s="30"/>
      <c r="U298" s="30"/>
      <c r="V298" s="33"/>
      <c r="W298" s="32"/>
      <c r="X298" s="77"/>
    </row>
    <row x14ac:dyDescent="0.25" r="299" customHeight="1" ht="18">
      <c r="A299" s="33"/>
      <c r="B299" s="32"/>
      <c r="C299" s="77"/>
      <c r="D299" s="57"/>
      <c r="E299" s="57"/>
      <c r="F299" s="77"/>
      <c r="G299" s="33"/>
      <c r="H299" s="32"/>
      <c r="I299" s="77"/>
      <c r="J299" s="33"/>
      <c r="K299" s="32"/>
      <c r="L299" s="77"/>
      <c r="M299" s="33"/>
      <c r="N299" s="32"/>
      <c r="O299" s="77"/>
      <c r="P299" s="33"/>
      <c r="Q299" s="32"/>
      <c r="R299" s="77"/>
      <c r="S299" s="30"/>
      <c r="T299" s="30"/>
      <c r="U299" s="30"/>
      <c r="V299" s="33"/>
      <c r="W299" s="32"/>
      <c r="X299" s="77"/>
    </row>
    <row x14ac:dyDescent="0.25" r="300" customHeight="1" ht="18">
      <c r="A300" s="33"/>
      <c r="B300" s="32"/>
      <c r="C300" s="77"/>
      <c r="D300" s="57"/>
      <c r="E300" s="57"/>
      <c r="F300" s="77"/>
      <c r="G300" s="33"/>
      <c r="H300" s="32"/>
      <c r="I300" s="77"/>
      <c r="J300" s="33"/>
      <c r="K300" s="32"/>
      <c r="L300" s="77"/>
      <c r="M300" s="33"/>
      <c r="N300" s="32"/>
      <c r="O300" s="77"/>
      <c r="P300" s="33"/>
      <c r="Q300" s="32"/>
      <c r="R300" s="77"/>
      <c r="S300" s="30"/>
      <c r="T300" s="30"/>
      <c r="U300" s="30"/>
      <c r="V300" s="33"/>
      <c r="W300" s="32"/>
      <c r="X300" s="77"/>
    </row>
    <row x14ac:dyDescent="0.25" r="301" customHeight="1" ht="18">
      <c r="A301" s="33"/>
      <c r="B301" s="32"/>
      <c r="C301" s="77"/>
      <c r="D301" s="57"/>
      <c r="E301" s="57"/>
      <c r="F301" s="77"/>
      <c r="G301" s="33"/>
      <c r="H301" s="32"/>
      <c r="I301" s="77"/>
      <c r="J301" s="33"/>
      <c r="K301" s="32"/>
      <c r="L301" s="77"/>
      <c r="M301" s="33"/>
      <c r="N301" s="32"/>
      <c r="O301" s="77"/>
      <c r="P301" s="33"/>
      <c r="Q301" s="32"/>
      <c r="R301" s="77"/>
      <c r="S301" s="30"/>
      <c r="T301" s="30"/>
      <c r="U301" s="30"/>
      <c r="V301" s="33"/>
      <c r="W301" s="32"/>
      <c r="X301" s="77"/>
    </row>
    <row x14ac:dyDescent="0.25" r="302" customHeight="1" ht="18">
      <c r="A302" s="33"/>
      <c r="B302" s="32"/>
      <c r="C302" s="77"/>
      <c r="D302" s="57"/>
      <c r="E302" s="57"/>
      <c r="F302" s="77"/>
      <c r="G302" s="33"/>
      <c r="H302" s="32"/>
      <c r="I302" s="77"/>
      <c r="J302" s="33"/>
      <c r="K302" s="32"/>
      <c r="L302" s="77"/>
      <c r="M302" s="33"/>
      <c r="N302" s="32"/>
      <c r="O302" s="77"/>
      <c r="P302" s="33"/>
      <c r="Q302" s="32"/>
      <c r="R302" s="77"/>
      <c r="S302" s="30"/>
      <c r="T302" s="30"/>
      <c r="U302" s="30"/>
      <c r="V302" s="33"/>
      <c r="W302" s="32"/>
      <c r="X302" s="77"/>
    </row>
    <row x14ac:dyDescent="0.25" r="303" customHeight="1" ht="18">
      <c r="A303" s="33"/>
      <c r="B303" s="32"/>
      <c r="C303" s="77"/>
      <c r="D303" s="57"/>
      <c r="E303" s="57"/>
      <c r="F303" s="77"/>
      <c r="G303" s="33"/>
      <c r="H303" s="32"/>
      <c r="I303" s="77"/>
      <c r="J303" s="33"/>
      <c r="K303" s="32"/>
      <c r="L303" s="77"/>
      <c r="M303" s="33"/>
      <c r="N303" s="32"/>
      <c r="O303" s="77"/>
      <c r="P303" s="33"/>
      <c r="Q303" s="32"/>
      <c r="R303" s="77"/>
      <c r="S303" s="30"/>
      <c r="T303" s="30"/>
      <c r="U303" s="30"/>
      <c r="V303" s="33"/>
      <c r="W303" s="32"/>
      <c r="X303" s="77"/>
    </row>
    <row x14ac:dyDescent="0.25" r="304" customHeight="1" ht="18">
      <c r="A304" s="33"/>
      <c r="B304" s="32"/>
      <c r="C304" s="77"/>
      <c r="D304" s="57"/>
      <c r="E304" s="57"/>
      <c r="F304" s="77"/>
      <c r="G304" s="33"/>
      <c r="H304" s="32"/>
      <c r="I304" s="77"/>
      <c r="J304" s="33"/>
      <c r="K304" s="32"/>
      <c r="L304" s="77"/>
      <c r="M304" s="33"/>
      <c r="N304" s="32"/>
      <c r="O304" s="77"/>
      <c r="P304" s="33"/>
      <c r="Q304" s="32"/>
      <c r="R304" s="77"/>
      <c r="S304" s="30"/>
      <c r="T304" s="30"/>
      <c r="U304" s="30"/>
      <c r="V304" s="33"/>
      <c r="W304" s="32"/>
      <c r="X304" s="77"/>
    </row>
    <row x14ac:dyDescent="0.25" r="305" customHeight="1" ht="18">
      <c r="A305" s="33"/>
      <c r="B305" s="32"/>
      <c r="C305" s="77"/>
      <c r="D305" s="57"/>
      <c r="E305" s="57"/>
      <c r="F305" s="77"/>
      <c r="G305" s="33"/>
      <c r="H305" s="32"/>
      <c r="I305" s="77"/>
      <c r="J305" s="33"/>
      <c r="K305" s="32"/>
      <c r="L305" s="77"/>
      <c r="M305" s="33"/>
      <c r="N305" s="32"/>
      <c r="O305" s="77"/>
      <c r="P305" s="33"/>
      <c r="Q305" s="32"/>
      <c r="R305" s="77"/>
      <c r="S305" s="30"/>
      <c r="T305" s="30"/>
      <c r="U305" s="30"/>
      <c r="V305" s="33"/>
      <c r="W305" s="32"/>
      <c r="X305" s="77"/>
    </row>
    <row x14ac:dyDescent="0.25" r="306" customHeight="1" ht="18">
      <c r="A306" s="33"/>
      <c r="B306" s="32"/>
      <c r="C306" s="77"/>
      <c r="D306" s="57"/>
      <c r="E306" s="57"/>
      <c r="F306" s="77"/>
      <c r="G306" s="33"/>
      <c r="H306" s="32"/>
      <c r="I306" s="77"/>
      <c r="J306" s="33"/>
      <c r="K306" s="32"/>
      <c r="L306" s="77"/>
      <c r="M306" s="33"/>
      <c r="N306" s="32"/>
      <c r="O306" s="77"/>
      <c r="P306" s="33"/>
      <c r="Q306" s="32"/>
      <c r="R306" s="77"/>
      <c r="S306" s="30"/>
      <c r="T306" s="30"/>
      <c r="U306" s="30"/>
      <c r="V306" s="33"/>
      <c r="W306" s="32"/>
      <c r="X306" s="77"/>
    </row>
    <row x14ac:dyDescent="0.25" r="307" customHeight="1" ht="18">
      <c r="A307" s="33"/>
      <c r="B307" s="32"/>
      <c r="C307" s="77"/>
      <c r="D307" s="57"/>
      <c r="E307" s="57"/>
      <c r="F307" s="77"/>
      <c r="G307" s="33"/>
      <c r="H307" s="32"/>
      <c r="I307" s="77"/>
      <c r="J307" s="33"/>
      <c r="K307" s="32"/>
      <c r="L307" s="77"/>
      <c r="M307" s="33"/>
      <c r="N307" s="32"/>
      <c r="O307" s="77"/>
      <c r="P307" s="33"/>
      <c r="Q307" s="32"/>
      <c r="R307" s="77"/>
      <c r="S307" s="30"/>
      <c r="T307" s="30"/>
      <c r="U307" s="30"/>
      <c r="V307" s="33"/>
      <c r="W307" s="32"/>
      <c r="X307" s="77"/>
    </row>
    <row x14ac:dyDescent="0.25" r="308" customHeight="1" ht="18">
      <c r="A308" s="33"/>
      <c r="B308" s="32"/>
      <c r="C308" s="77"/>
      <c r="D308" s="57"/>
      <c r="E308" s="57"/>
      <c r="F308" s="77"/>
      <c r="G308" s="33"/>
      <c r="H308" s="32"/>
      <c r="I308" s="77"/>
      <c r="J308" s="33"/>
      <c r="K308" s="32"/>
      <c r="L308" s="77"/>
      <c r="M308" s="33"/>
      <c r="N308" s="32"/>
      <c r="O308" s="77"/>
      <c r="P308" s="33"/>
      <c r="Q308" s="32"/>
      <c r="R308" s="77"/>
      <c r="S308" s="30"/>
      <c r="T308" s="30"/>
      <c r="U308" s="30"/>
      <c r="V308" s="33"/>
      <c r="W308" s="32"/>
      <c r="X308" s="77"/>
    </row>
    <row x14ac:dyDescent="0.25" r="309" customHeight="1" ht="18">
      <c r="A309" s="33"/>
      <c r="B309" s="32"/>
      <c r="C309" s="77"/>
      <c r="D309" s="57"/>
      <c r="E309" s="57"/>
      <c r="F309" s="77"/>
      <c r="G309" s="33"/>
      <c r="H309" s="32"/>
      <c r="I309" s="77"/>
      <c r="J309" s="33"/>
      <c r="K309" s="32"/>
      <c r="L309" s="77"/>
      <c r="M309" s="33"/>
      <c r="N309" s="32"/>
      <c r="O309" s="77"/>
      <c r="P309" s="33"/>
      <c r="Q309" s="32"/>
      <c r="R309" s="77"/>
      <c r="S309" s="30"/>
      <c r="T309" s="30"/>
      <c r="U309" s="30"/>
      <c r="V309" s="33"/>
      <c r="W309" s="32"/>
      <c r="X309" s="77"/>
    </row>
    <row x14ac:dyDescent="0.25" r="310" customHeight="1" ht="18">
      <c r="A310" s="33"/>
      <c r="B310" s="32"/>
      <c r="C310" s="77"/>
      <c r="D310" s="57"/>
      <c r="E310" s="57"/>
      <c r="F310" s="77"/>
      <c r="G310" s="33"/>
      <c r="H310" s="32"/>
      <c r="I310" s="77"/>
      <c r="J310" s="33"/>
      <c r="K310" s="32"/>
      <c r="L310" s="77"/>
      <c r="M310" s="33"/>
      <c r="N310" s="32"/>
      <c r="O310" s="77"/>
      <c r="P310" s="33"/>
      <c r="Q310" s="32"/>
      <c r="R310" s="77"/>
      <c r="S310" s="30"/>
      <c r="T310" s="30"/>
      <c r="U310" s="30"/>
      <c r="V310" s="33"/>
      <c r="W310" s="32"/>
      <c r="X310" s="77"/>
    </row>
    <row x14ac:dyDescent="0.25" r="311" customHeight="1" ht="18">
      <c r="A311" s="33"/>
      <c r="B311" s="32"/>
      <c r="C311" s="77"/>
      <c r="D311" s="57"/>
      <c r="E311" s="57"/>
      <c r="F311" s="77"/>
      <c r="G311" s="33"/>
      <c r="H311" s="32"/>
      <c r="I311" s="77"/>
      <c r="J311" s="33"/>
      <c r="K311" s="32"/>
      <c r="L311" s="77"/>
      <c r="M311" s="33"/>
      <c r="N311" s="32"/>
      <c r="O311" s="77"/>
      <c r="P311" s="33"/>
      <c r="Q311" s="32"/>
      <c r="R311" s="77"/>
      <c r="S311" s="30"/>
      <c r="T311" s="30"/>
      <c r="U311" s="30"/>
      <c r="V311" s="33"/>
      <c r="W311" s="32"/>
      <c r="X311" s="77"/>
    </row>
    <row x14ac:dyDescent="0.25" r="312" customHeight="1" ht="18">
      <c r="A312" s="33"/>
      <c r="B312" s="32"/>
      <c r="C312" s="77"/>
      <c r="D312" s="57"/>
      <c r="E312" s="57"/>
      <c r="F312" s="77"/>
      <c r="G312" s="33"/>
      <c r="H312" s="32"/>
      <c r="I312" s="77"/>
      <c r="J312" s="33"/>
      <c r="K312" s="32"/>
      <c r="L312" s="77"/>
      <c r="M312" s="33"/>
      <c r="N312" s="32"/>
      <c r="O312" s="77"/>
      <c r="P312" s="33"/>
      <c r="Q312" s="32"/>
      <c r="R312" s="77"/>
      <c r="S312" s="30"/>
      <c r="T312" s="30"/>
      <c r="U312" s="30"/>
      <c r="V312" s="33"/>
      <c r="W312" s="32"/>
      <c r="X312" s="77"/>
    </row>
    <row x14ac:dyDescent="0.25" r="313" customHeight="1" ht="18">
      <c r="A313" s="33"/>
      <c r="B313" s="32"/>
      <c r="C313" s="77"/>
      <c r="D313" s="57"/>
      <c r="E313" s="57"/>
      <c r="F313" s="77"/>
      <c r="G313" s="33"/>
      <c r="H313" s="32"/>
      <c r="I313" s="77"/>
      <c r="J313" s="33"/>
      <c r="K313" s="32"/>
      <c r="L313" s="77"/>
      <c r="M313" s="33"/>
      <c r="N313" s="32"/>
      <c r="O313" s="77"/>
      <c r="P313" s="33"/>
      <c r="Q313" s="32"/>
      <c r="R313" s="77"/>
      <c r="S313" s="30"/>
      <c r="T313" s="30"/>
      <c r="U313" s="30"/>
      <c r="V313" s="33"/>
      <c r="W313" s="32"/>
      <c r="X313" s="77"/>
    </row>
    <row x14ac:dyDescent="0.25" r="314" customHeight="1" ht="18">
      <c r="A314" s="33"/>
      <c r="B314" s="32"/>
      <c r="C314" s="77"/>
      <c r="D314" s="57"/>
      <c r="E314" s="57"/>
      <c r="F314" s="77"/>
      <c r="G314" s="33"/>
      <c r="H314" s="32"/>
      <c r="I314" s="77"/>
      <c r="J314" s="33"/>
      <c r="K314" s="32"/>
      <c r="L314" s="77"/>
      <c r="M314" s="33"/>
      <c r="N314" s="32"/>
      <c r="O314" s="77"/>
      <c r="P314" s="33"/>
      <c r="Q314" s="32"/>
      <c r="R314" s="77"/>
      <c r="S314" s="30"/>
      <c r="T314" s="30"/>
      <c r="U314" s="30"/>
      <c r="V314" s="33"/>
      <c r="W314" s="32"/>
      <c r="X314" s="77"/>
    </row>
    <row x14ac:dyDescent="0.25" r="315" customHeight="1" ht="18">
      <c r="A315" s="33"/>
      <c r="B315" s="32"/>
      <c r="C315" s="77"/>
      <c r="D315" s="57"/>
      <c r="E315" s="57"/>
      <c r="F315" s="77"/>
      <c r="G315" s="33"/>
      <c r="H315" s="32"/>
      <c r="I315" s="77"/>
      <c r="J315" s="33"/>
      <c r="K315" s="32"/>
      <c r="L315" s="77"/>
      <c r="M315" s="33"/>
      <c r="N315" s="32"/>
      <c r="O315" s="77"/>
      <c r="P315" s="33"/>
      <c r="Q315" s="32"/>
      <c r="R315" s="77"/>
      <c r="S315" s="30"/>
      <c r="T315" s="30"/>
      <c r="U315" s="30"/>
      <c r="V315" s="33"/>
      <c r="W315" s="32"/>
      <c r="X315" s="77"/>
    </row>
    <row x14ac:dyDescent="0.25" r="316" customHeight="1" ht="18">
      <c r="A316" s="33"/>
      <c r="B316" s="32"/>
      <c r="C316" s="77"/>
      <c r="D316" s="57"/>
      <c r="E316" s="57"/>
      <c r="F316" s="77"/>
      <c r="G316" s="33"/>
      <c r="H316" s="32"/>
      <c r="I316" s="77"/>
      <c r="J316" s="33"/>
      <c r="K316" s="32"/>
      <c r="L316" s="77"/>
      <c r="M316" s="33"/>
      <c r="N316" s="32"/>
      <c r="O316" s="77"/>
      <c r="P316" s="33"/>
      <c r="Q316" s="32"/>
      <c r="R316" s="77"/>
      <c r="S316" s="30"/>
      <c r="T316" s="30"/>
      <c r="U316" s="30"/>
      <c r="V316" s="33"/>
      <c r="W316" s="32"/>
      <c r="X316" s="77"/>
    </row>
    <row x14ac:dyDescent="0.25" r="317" customHeight="1" ht="18">
      <c r="A317" s="33"/>
      <c r="B317" s="32"/>
      <c r="C317" s="77"/>
      <c r="D317" s="57"/>
      <c r="E317" s="57"/>
      <c r="F317" s="77"/>
      <c r="G317" s="33"/>
      <c r="H317" s="32"/>
      <c r="I317" s="77"/>
      <c r="J317" s="33"/>
      <c r="K317" s="32"/>
      <c r="L317" s="77"/>
      <c r="M317" s="33"/>
      <c r="N317" s="32"/>
      <c r="O317" s="77"/>
      <c r="P317" s="33"/>
      <c r="Q317" s="32"/>
      <c r="R317" s="77"/>
      <c r="S317" s="30"/>
      <c r="T317" s="30"/>
      <c r="U317" s="30"/>
      <c r="V317" s="33"/>
      <c r="W317" s="32"/>
      <c r="X317" s="77"/>
    </row>
    <row x14ac:dyDescent="0.25" r="318" customHeight="1" ht="18">
      <c r="A318" s="33"/>
      <c r="B318" s="32"/>
      <c r="C318" s="77"/>
      <c r="D318" s="57"/>
      <c r="E318" s="57"/>
      <c r="F318" s="77"/>
      <c r="G318" s="33"/>
      <c r="H318" s="32"/>
      <c r="I318" s="77"/>
      <c r="J318" s="33"/>
      <c r="K318" s="32"/>
      <c r="L318" s="77"/>
      <c r="M318" s="33"/>
      <c r="N318" s="32"/>
      <c r="O318" s="77"/>
      <c r="P318" s="33"/>
      <c r="Q318" s="32"/>
      <c r="R318" s="77"/>
      <c r="S318" s="30"/>
      <c r="T318" s="30"/>
      <c r="U318" s="30"/>
      <c r="V318" s="33"/>
      <c r="W318" s="32"/>
      <c r="X318" s="77"/>
    </row>
    <row x14ac:dyDescent="0.25" r="319" customHeight="1" ht="18">
      <c r="A319" s="33"/>
      <c r="B319" s="32"/>
      <c r="C319" s="77"/>
      <c r="D319" s="57"/>
      <c r="E319" s="57"/>
      <c r="F319" s="77"/>
      <c r="G319" s="33"/>
      <c r="H319" s="32"/>
      <c r="I319" s="77"/>
      <c r="J319" s="33"/>
      <c r="K319" s="32"/>
      <c r="L319" s="77"/>
      <c r="M319" s="33"/>
      <c r="N319" s="32"/>
      <c r="O319" s="77"/>
      <c r="P319" s="33"/>
      <c r="Q319" s="32"/>
      <c r="R319" s="77"/>
      <c r="S319" s="30"/>
      <c r="T319" s="30"/>
      <c r="U319" s="30"/>
      <c r="V319" s="33"/>
      <c r="W319" s="32"/>
      <c r="X319" s="77"/>
    </row>
    <row x14ac:dyDescent="0.25" r="320" customHeight="1" ht="18">
      <c r="A320" s="33"/>
      <c r="B320" s="32"/>
      <c r="C320" s="77"/>
      <c r="D320" s="57"/>
      <c r="E320" s="57"/>
      <c r="F320" s="77"/>
      <c r="G320" s="33"/>
      <c r="H320" s="32"/>
      <c r="I320" s="77"/>
      <c r="J320" s="33"/>
      <c r="K320" s="32"/>
      <c r="L320" s="77"/>
      <c r="M320" s="33"/>
      <c r="N320" s="32"/>
      <c r="O320" s="77"/>
      <c r="P320" s="33"/>
      <c r="Q320" s="32"/>
      <c r="R320" s="77"/>
      <c r="S320" s="30"/>
      <c r="T320" s="30"/>
      <c r="U320" s="30"/>
      <c r="V320" s="33"/>
      <c r="W320" s="32"/>
      <c r="X320" s="77"/>
    </row>
    <row x14ac:dyDescent="0.25" r="321" customHeight="1" ht="18">
      <c r="A321" s="33"/>
      <c r="B321" s="32"/>
      <c r="C321" s="77"/>
      <c r="D321" s="57"/>
      <c r="E321" s="57"/>
      <c r="F321" s="77"/>
      <c r="G321" s="33"/>
      <c r="H321" s="32"/>
      <c r="I321" s="77"/>
      <c r="J321" s="33"/>
      <c r="K321" s="32"/>
      <c r="L321" s="77"/>
      <c r="M321" s="33"/>
      <c r="N321" s="32"/>
      <c r="O321" s="77"/>
      <c r="P321" s="33"/>
      <c r="Q321" s="32"/>
      <c r="R321" s="77"/>
      <c r="S321" s="30"/>
      <c r="T321" s="30"/>
      <c r="U321" s="30"/>
      <c r="V321" s="33"/>
      <c r="W321" s="32"/>
      <c r="X321" s="77"/>
    </row>
    <row x14ac:dyDescent="0.25" r="322" customHeight="1" ht="18">
      <c r="A322" s="33"/>
      <c r="B322" s="32"/>
      <c r="C322" s="77"/>
      <c r="D322" s="57"/>
      <c r="E322" s="57"/>
      <c r="F322" s="77"/>
      <c r="G322" s="33"/>
      <c r="H322" s="32"/>
      <c r="I322" s="77"/>
      <c r="J322" s="33"/>
      <c r="K322" s="32"/>
      <c r="L322" s="77"/>
      <c r="M322" s="33"/>
      <c r="N322" s="32"/>
      <c r="O322" s="77"/>
      <c r="P322" s="33"/>
      <c r="Q322" s="32"/>
      <c r="R322" s="77"/>
      <c r="S322" s="30"/>
      <c r="T322" s="30"/>
      <c r="U322" s="30"/>
      <c r="V322" s="33"/>
      <c r="W322" s="32"/>
      <c r="X322" s="77"/>
    </row>
    <row x14ac:dyDescent="0.25" r="323" customHeight="1" ht="18">
      <c r="A323" s="33"/>
      <c r="B323" s="32"/>
      <c r="C323" s="77"/>
      <c r="D323" s="57"/>
      <c r="E323" s="57"/>
      <c r="F323" s="77"/>
      <c r="G323" s="33"/>
      <c r="H323" s="32"/>
      <c r="I323" s="77"/>
      <c r="J323" s="33"/>
      <c r="K323" s="32"/>
      <c r="L323" s="77"/>
      <c r="M323" s="33"/>
      <c r="N323" s="32"/>
      <c r="O323" s="77"/>
      <c r="P323" s="33"/>
      <c r="Q323" s="32"/>
      <c r="R323" s="77"/>
      <c r="S323" s="30"/>
      <c r="T323" s="30"/>
      <c r="U323" s="30"/>
      <c r="V323" s="33"/>
      <c r="W323" s="32"/>
      <c r="X323" s="77"/>
    </row>
    <row x14ac:dyDescent="0.25" r="324" customHeight="1" ht="18">
      <c r="A324" s="33"/>
      <c r="B324" s="32"/>
      <c r="C324" s="77"/>
      <c r="D324" s="57"/>
      <c r="E324" s="57"/>
      <c r="F324" s="77"/>
      <c r="G324" s="33"/>
      <c r="H324" s="32"/>
      <c r="I324" s="77"/>
      <c r="J324" s="33"/>
      <c r="K324" s="32"/>
      <c r="L324" s="77"/>
      <c r="M324" s="33"/>
      <c r="N324" s="32"/>
      <c r="O324" s="77"/>
      <c r="P324" s="33"/>
      <c r="Q324" s="32"/>
      <c r="R324" s="77"/>
      <c r="S324" s="30"/>
      <c r="T324" s="30"/>
      <c r="U324" s="30"/>
      <c r="V324" s="33"/>
      <c r="W324" s="32"/>
      <c r="X324" s="77"/>
    </row>
    <row x14ac:dyDescent="0.25" r="325" customHeight="1" ht="18">
      <c r="A325" s="33"/>
      <c r="B325" s="32"/>
      <c r="C325" s="77"/>
      <c r="D325" s="57"/>
      <c r="E325" s="57"/>
      <c r="F325" s="77"/>
      <c r="G325" s="33"/>
      <c r="H325" s="32"/>
      <c r="I325" s="77"/>
      <c r="J325" s="33"/>
      <c r="K325" s="32"/>
      <c r="L325" s="77"/>
      <c r="M325" s="33"/>
      <c r="N325" s="32"/>
      <c r="O325" s="77"/>
      <c r="P325" s="33"/>
      <c r="Q325" s="32"/>
      <c r="R325" s="77"/>
      <c r="S325" s="30"/>
      <c r="T325" s="30"/>
      <c r="U325" s="30"/>
      <c r="V325" s="33"/>
      <c r="W325" s="32"/>
      <c r="X325" s="77"/>
    </row>
    <row x14ac:dyDescent="0.25" r="326" customHeight="1" ht="18">
      <c r="A326" s="33"/>
      <c r="B326" s="32"/>
      <c r="C326" s="77"/>
      <c r="D326" s="57"/>
      <c r="E326" s="57"/>
      <c r="F326" s="77"/>
      <c r="G326" s="33"/>
      <c r="H326" s="32"/>
      <c r="I326" s="77"/>
      <c r="J326" s="33"/>
      <c r="K326" s="32"/>
      <c r="L326" s="77"/>
      <c r="M326" s="33"/>
      <c r="N326" s="32"/>
      <c r="O326" s="77"/>
      <c r="P326" s="33"/>
      <c r="Q326" s="32"/>
      <c r="R326" s="77"/>
      <c r="S326" s="30"/>
      <c r="T326" s="30"/>
      <c r="U326" s="30"/>
      <c r="V326" s="33"/>
      <c r="W326" s="32"/>
      <c r="X326" s="77"/>
    </row>
    <row x14ac:dyDescent="0.25" r="327" customHeight="1" ht="18">
      <c r="A327" s="33"/>
      <c r="B327" s="32"/>
      <c r="C327" s="77"/>
      <c r="D327" s="57"/>
      <c r="E327" s="57"/>
      <c r="F327" s="77"/>
      <c r="G327" s="33"/>
      <c r="H327" s="32"/>
      <c r="I327" s="77"/>
      <c r="J327" s="33"/>
      <c r="K327" s="32"/>
      <c r="L327" s="77"/>
      <c r="M327" s="33"/>
      <c r="N327" s="32"/>
      <c r="O327" s="77"/>
      <c r="P327" s="33"/>
      <c r="Q327" s="32"/>
      <c r="R327" s="77"/>
      <c r="S327" s="30"/>
      <c r="T327" s="30"/>
      <c r="U327" s="30"/>
      <c r="V327" s="33"/>
      <c r="W327" s="32"/>
      <c r="X327" s="77"/>
    </row>
    <row x14ac:dyDescent="0.25" r="328" customHeight="1" ht="18">
      <c r="A328" s="33"/>
      <c r="B328" s="32"/>
      <c r="C328" s="77"/>
      <c r="D328" s="57"/>
      <c r="E328" s="57"/>
      <c r="F328" s="77"/>
      <c r="G328" s="33"/>
      <c r="H328" s="32"/>
      <c r="I328" s="77"/>
      <c r="J328" s="33"/>
      <c r="K328" s="32"/>
      <c r="L328" s="77"/>
      <c r="M328" s="33"/>
      <c r="N328" s="32"/>
      <c r="O328" s="77"/>
      <c r="P328" s="33"/>
      <c r="Q328" s="32"/>
      <c r="R328" s="77"/>
      <c r="S328" s="30"/>
      <c r="T328" s="30"/>
      <c r="U328" s="30"/>
      <c r="V328" s="33"/>
      <c r="W328" s="32"/>
      <c r="X328" s="77"/>
    </row>
    <row x14ac:dyDescent="0.25" r="329" customHeight="1" ht="18">
      <c r="A329" s="33"/>
      <c r="B329" s="32"/>
      <c r="C329" s="77"/>
      <c r="D329" s="57"/>
      <c r="E329" s="57"/>
      <c r="F329" s="77"/>
      <c r="G329" s="33"/>
      <c r="H329" s="32"/>
      <c r="I329" s="77"/>
      <c r="J329" s="33"/>
      <c r="K329" s="32"/>
      <c r="L329" s="77"/>
      <c r="M329" s="33"/>
      <c r="N329" s="32"/>
      <c r="O329" s="77"/>
      <c r="P329" s="33"/>
      <c r="Q329" s="32"/>
      <c r="R329" s="77"/>
      <c r="S329" s="30"/>
      <c r="T329" s="30"/>
      <c r="U329" s="30"/>
      <c r="V329" s="33"/>
      <c r="W329" s="32"/>
      <c r="X329" s="77"/>
    </row>
    <row x14ac:dyDescent="0.25" r="330" customHeight="1" ht="18">
      <c r="A330" s="33"/>
      <c r="B330" s="32"/>
      <c r="C330" s="77"/>
      <c r="D330" s="57"/>
      <c r="E330" s="57"/>
      <c r="F330" s="77"/>
      <c r="G330" s="33"/>
      <c r="H330" s="32"/>
      <c r="I330" s="77"/>
      <c r="J330" s="33"/>
      <c r="K330" s="32"/>
      <c r="L330" s="77"/>
      <c r="M330" s="33"/>
      <c r="N330" s="32"/>
      <c r="O330" s="77"/>
      <c r="P330" s="33"/>
      <c r="Q330" s="32"/>
      <c r="R330" s="77"/>
      <c r="S330" s="30"/>
      <c r="T330" s="30"/>
      <c r="U330" s="30"/>
      <c r="V330" s="33"/>
      <c r="W330" s="32"/>
      <c r="X330" s="77"/>
    </row>
    <row x14ac:dyDescent="0.25" r="331" customHeight="1" ht="18">
      <c r="A331" s="33"/>
      <c r="B331" s="32"/>
      <c r="C331" s="77"/>
      <c r="D331" s="57"/>
      <c r="E331" s="57"/>
      <c r="F331" s="77"/>
      <c r="G331" s="33"/>
      <c r="H331" s="32"/>
      <c r="I331" s="77"/>
      <c r="J331" s="33"/>
      <c r="K331" s="32"/>
      <c r="L331" s="77"/>
      <c r="M331" s="33"/>
      <c r="N331" s="32"/>
      <c r="O331" s="77"/>
      <c r="P331" s="33"/>
      <c r="Q331" s="32"/>
      <c r="R331" s="77"/>
      <c r="S331" s="30"/>
      <c r="T331" s="30"/>
      <c r="U331" s="30"/>
      <c r="V331" s="33"/>
      <c r="W331" s="32"/>
      <c r="X331" s="77"/>
    </row>
    <row x14ac:dyDescent="0.25" r="332" customHeight="1" ht="18">
      <c r="A332" s="33"/>
      <c r="B332" s="32"/>
      <c r="C332" s="77"/>
      <c r="D332" s="57"/>
      <c r="E332" s="57"/>
      <c r="F332" s="77"/>
      <c r="G332" s="33"/>
      <c r="H332" s="32"/>
      <c r="I332" s="77"/>
      <c r="J332" s="33"/>
      <c r="K332" s="32"/>
      <c r="L332" s="77"/>
      <c r="M332" s="33"/>
      <c r="N332" s="32"/>
      <c r="O332" s="77"/>
      <c r="P332" s="33"/>
      <c r="Q332" s="32"/>
      <c r="R332" s="77"/>
      <c r="S332" s="30"/>
      <c r="T332" s="30"/>
      <c r="U332" s="30"/>
      <c r="V332" s="33"/>
      <c r="W332" s="32"/>
      <c r="X332" s="77"/>
    </row>
    <row x14ac:dyDescent="0.25" r="333" customHeight="1" ht="18">
      <c r="A333" s="33"/>
      <c r="B333" s="32"/>
      <c r="C333" s="77"/>
      <c r="D333" s="57"/>
      <c r="E333" s="57"/>
      <c r="F333" s="77"/>
      <c r="G333" s="33"/>
      <c r="H333" s="32"/>
      <c r="I333" s="77"/>
      <c r="J333" s="33"/>
      <c r="K333" s="32"/>
      <c r="L333" s="77"/>
      <c r="M333" s="33"/>
      <c r="N333" s="32"/>
      <c r="O333" s="77"/>
      <c r="P333" s="33"/>
      <c r="Q333" s="32"/>
      <c r="R333" s="77"/>
      <c r="S333" s="30"/>
      <c r="T333" s="30"/>
      <c r="U333" s="30"/>
      <c r="V333" s="33"/>
      <c r="W333" s="32"/>
      <c r="X333" s="77"/>
    </row>
    <row x14ac:dyDescent="0.25" r="334" customHeight="1" ht="18">
      <c r="A334" s="33"/>
      <c r="B334" s="32"/>
      <c r="C334" s="77"/>
      <c r="D334" s="57"/>
      <c r="E334" s="57"/>
      <c r="F334" s="77"/>
      <c r="G334" s="33"/>
      <c r="H334" s="32"/>
      <c r="I334" s="77"/>
      <c r="J334" s="33"/>
      <c r="K334" s="32"/>
      <c r="L334" s="77"/>
      <c r="M334" s="33"/>
      <c r="N334" s="32"/>
      <c r="O334" s="77"/>
      <c r="P334" s="33"/>
      <c r="Q334" s="32"/>
      <c r="R334" s="77"/>
      <c r="S334" s="30"/>
      <c r="T334" s="30"/>
      <c r="U334" s="30"/>
      <c r="V334" s="33"/>
      <c r="W334" s="32"/>
      <c r="X334" s="77"/>
    </row>
    <row x14ac:dyDescent="0.25" r="335" customHeight="1" ht="18">
      <c r="A335" s="33"/>
      <c r="B335" s="32"/>
      <c r="C335" s="77"/>
      <c r="D335" s="57"/>
      <c r="E335" s="57"/>
      <c r="F335" s="77"/>
      <c r="G335" s="33"/>
      <c r="H335" s="32"/>
      <c r="I335" s="77"/>
      <c r="J335" s="33"/>
      <c r="K335" s="32"/>
      <c r="L335" s="77"/>
      <c r="M335" s="33"/>
      <c r="N335" s="32"/>
      <c r="O335" s="77"/>
      <c r="P335" s="33"/>
      <c r="Q335" s="32"/>
      <c r="R335" s="77"/>
      <c r="S335" s="30"/>
      <c r="T335" s="30"/>
      <c r="U335" s="30"/>
      <c r="V335" s="33"/>
      <c r="W335" s="32"/>
      <c r="X335" s="77"/>
    </row>
    <row x14ac:dyDescent="0.25" r="336" customHeight="1" ht="18">
      <c r="A336" s="33"/>
      <c r="B336" s="32"/>
      <c r="C336" s="77"/>
      <c r="D336" s="57"/>
      <c r="E336" s="57"/>
      <c r="F336" s="77"/>
      <c r="G336" s="33"/>
      <c r="H336" s="32"/>
      <c r="I336" s="77"/>
      <c r="J336" s="33"/>
      <c r="K336" s="32"/>
      <c r="L336" s="77"/>
      <c r="M336" s="33"/>
      <c r="N336" s="32"/>
      <c r="O336" s="77"/>
      <c r="P336" s="33"/>
      <c r="Q336" s="32"/>
      <c r="R336" s="77"/>
      <c r="S336" s="30"/>
      <c r="T336" s="30"/>
      <c r="U336" s="30"/>
      <c r="V336" s="33"/>
      <c r="W336" s="32"/>
      <c r="X336" s="77"/>
    </row>
    <row x14ac:dyDescent="0.25" r="337" customHeight="1" ht="18">
      <c r="A337" s="33"/>
      <c r="B337" s="32"/>
      <c r="C337" s="77"/>
      <c r="D337" s="57"/>
      <c r="E337" s="57"/>
      <c r="F337" s="77"/>
      <c r="G337" s="33"/>
      <c r="H337" s="32"/>
      <c r="I337" s="77"/>
      <c r="J337" s="33"/>
      <c r="K337" s="32"/>
      <c r="L337" s="77"/>
      <c r="M337" s="33"/>
      <c r="N337" s="32"/>
      <c r="O337" s="77"/>
      <c r="P337" s="33"/>
      <c r="Q337" s="32"/>
      <c r="R337" s="77"/>
      <c r="S337" s="30"/>
      <c r="T337" s="30"/>
      <c r="U337" s="30"/>
      <c r="V337" s="33"/>
      <c r="W337" s="32"/>
      <c r="X337" s="77"/>
    </row>
    <row x14ac:dyDescent="0.25" r="338" customHeight="1" ht="18">
      <c r="A338" s="33"/>
      <c r="B338" s="32"/>
      <c r="C338" s="77"/>
      <c r="D338" s="57"/>
      <c r="E338" s="57"/>
      <c r="F338" s="77"/>
      <c r="G338" s="33"/>
      <c r="H338" s="32"/>
      <c r="I338" s="77"/>
      <c r="J338" s="33"/>
      <c r="K338" s="32"/>
      <c r="L338" s="77"/>
      <c r="M338" s="33"/>
      <c r="N338" s="32"/>
      <c r="O338" s="77"/>
      <c r="P338" s="33"/>
      <c r="Q338" s="32"/>
      <c r="R338" s="77"/>
      <c r="S338" s="30"/>
      <c r="T338" s="30"/>
      <c r="U338" s="30"/>
      <c r="V338" s="33"/>
      <c r="W338" s="32"/>
      <c r="X338" s="77"/>
    </row>
    <row x14ac:dyDescent="0.25" r="339" customHeight="1" ht="18">
      <c r="A339" s="33"/>
      <c r="B339" s="32"/>
      <c r="C339" s="77"/>
      <c r="D339" s="57"/>
      <c r="E339" s="57"/>
      <c r="F339" s="77"/>
      <c r="G339" s="33"/>
      <c r="H339" s="32"/>
      <c r="I339" s="77"/>
      <c r="J339" s="33"/>
      <c r="K339" s="32"/>
      <c r="L339" s="77"/>
      <c r="M339" s="33"/>
      <c r="N339" s="32"/>
      <c r="O339" s="77"/>
      <c r="P339" s="33"/>
      <c r="Q339" s="32"/>
      <c r="R339" s="77"/>
      <c r="S339" s="30"/>
      <c r="T339" s="30"/>
      <c r="U339" s="30"/>
      <c r="V339" s="33"/>
      <c r="W339" s="32"/>
      <c r="X339" s="77"/>
    </row>
    <row x14ac:dyDescent="0.25" r="340" customHeight="1" ht="18">
      <c r="A340" s="33"/>
      <c r="B340" s="32"/>
      <c r="C340" s="77"/>
      <c r="D340" s="57"/>
      <c r="E340" s="57"/>
      <c r="F340" s="77"/>
      <c r="G340" s="33"/>
      <c r="H340" s="32"/>
      <c r="I340" s="77"/>
      <c r="J340" s="33"/>
      <c r="K340" s="32"/>
      <c r="L340" s="77"/>
      <c r="M340" s="33"/>
      <c r="N340" s="32"/>
      <c r="O340" s="77"/>
      <c r="P340" s="33"/>
      <c r="Q340" s="32"/>
      <c r="R340" s="77"/>
      <c r="S340" s="30"/>
      <c r="T340" s="30"/>
      <c r="U340" s="30"/>
      <c r="V340" s="33"/>
      <c r="W340" s="32"/>
      <c r="X340" s="77"/>
    </row>
    <row x14ac:dyDescent="0.25" r="341" customHeight="1" ht="18">
      <c r="A341" s="33"/>
      <c r="B341" s="32"/>
      <c r="C341" s="77"/>
      <c r="D341" s="57"/>
      <c r="E341" s="57"/>
      <c r="F341" s="77"/>
      <c r="G341" s="33"/>
      <c r="H341" s="32"/>
      <c r="I341" s="77"/>
      <c r="J341" s="33"/>
      <c r="K341" s="32"/>
      <c r="L341" s="77"/>
      <c r="M341" s="33"/>
      <c r="N341" s="32"/>
      <c r="O341" s="77"/>
      <c r="P341" s="33"/>
      <c r="Q341" s="32"/>
      <c r="R341" s="77"/>
      <c r="S341" s="30"/>
      <c r="T341" s="30"/>
      <c r="U341" s="30"/>
      <c r="V341" s="33"/>
      <c r="W341" s="32"/>
      <c r="X341" s="77"/>
    </row>
    <row x14ac:dyDescent="0.25" r="342" customHeight="1" ht="18">
      <c r="A342" s="33"/>
      <c r="B342" s="32"/>
      <c r="C342" s="77"/>
      <c r="D342" s="57"/>
      <c r="E342" s="57"/>
      <c r="F342" s="77"/>
      <c r="G342" s="33"/>
      <c r="H342" s="32"/>
      <c r="I342" s="77"/>
      <c r="J342" s="33"/>
      <c r="K342" s="32"/>
      <c r="L342" s="77"/>
      <c r="M342" s="33"/>
      <c r="N342" s="32"/>
      <c r="O342" s="77"/>
      <c r="P342" s="33"/>
      <c r="Q342" s="32"/>
      <c r="R342" s="77"/>
      <c r="S342" s="30"/>
      <c r="T342" s="30"/>
      <c r="U342" s="30"/>
      <c r="V342" s="33"/>
      <c r="W342" s="32"/>
      <c r="X342" s="77"/>
    </row>
    <row x14ac:dyDescent="0.25" r="343" customHeight="1" ht="18">
      <c r="A343" s="33"/>
      <c r="B343" s="32"/>
      <c r="C343" s="77"/>
      <c r="D343" s="57"/>
      <c r="E343" s="57"/>
      <c r="F343" s="77"/>
      <c r="G343" s="33"/>
      <c r="H343" s="32"/>
      <c r="I343" s="77"/>
      <c r="J343" s="33"/>
      <c r="K343" s="32"/>
      <c r="L343" s="77"/>
      <c r="M343" s="33"/>
      <c r="N343" s="32"/>
      <c r="O343" s="77"/>
      <c r="P343" s="33"/>
      <c r="Q343" s="32"/>
      <c r="R343" s="77"/>
      <c r="S343" s="30"/>
      <c r="T343" s="30"/>
      <c r="U343" s="30"/>
      <c r="V343" s="33"/>
      <c r="W343" s="32"/>
      <c r="X343" s="77"/>
    </row>
    <row x14ac:dyDescent="0.25" r="344" customHeight="1" ht="18">
      <c r="A344" s="33"/>
      <c r="B344" s="32"/>
      <c r="C344" s="77"/>
      <c r="D344" s="57"/>
      <c r="E344" s="57"/>
      <c r="F344" s="77"/>
      <c r="G344" s="33"/>
      <c r="H344" s="32"/>
      <c r="I344" s="77"/>
      <c r="J344" s="33"/>
      <c r="K344" s="32"/>
      <c r="L344" s="77"/>
      <c r="M344" s="33"/>
      <c r="N344" s="32"/>
      <c r="O344" s="77"/>
      <c r="P344" s="33"/>
      <c r="Q344" s="32"/>
      <c r="R344" s="77"/>
      <c r="S344" s="30"/>
      <c r="T344" s="30"/>
      <c r="U344" s="30"/>
      <c r="V344" s="33"/>
      <c r="W344" s="32"/>
      <c r="X344" s="77"/>
    </row>
    <row x14ac:dyDescent="0.25" r="345" customHeight="1" ht="18">
      <c r="A345" s="33"/>
      <c r="B345" s="32"/>
      <c r="C345" s="77"/>
      <c r="D345" s="57"/>
      <c r="E345" s="57"/>
      <c r="F345" s="77"/>
      <c r="G345" s="33"/>
      <c r="H345" s="32"/>
      <c r="I345" s="77"/>
      <c r="J345" s="33"/>
      <c r="K345" s="32"/>
      <c r="L345" s="77"/>
      <c r="M345" s="33"/>
      <c r="N345" s="32"/>
      <c r="O345" s="77"/>
      <c r="P345" s="33"/>
      <c r="Q345" s="32"/>
      <c r="R345" s="77"/>
      <c r="S345" s="30"/>
      <c r="T345" s="30"/>
      <c r="U345" s="30"/>
      <c r="V345" s="33"/>
      <c r="W345" s="32"/>
      <c r="X345" s="77"/>
    </row>
    <row x14ac:dyDescent="0.25" r="346" customHeight="1" ht="18">
      <c r="A346" s="33"/>
      <c r="B346" s="32"/>
      <c r="C346" s="77"/>
      <c r="D346" s="57"/>
      <c r="E346" s="57"/>
      <c r="F346" s="77"/>
      <c r="G346" s="33"/>
      <c r="H346" s="32"/>
      <c r="I346" s="77"/>
      <c r="J346" s="33"/>
      <c r="K346" s="32"/>
      <c r="L346" s="77"/>
      <c r="M346" s="33"/>
      <c r="N346" s="32"/>
      <c r="O346" s="77"/>
      <c r="P346" s="33"/>
      <c r="Q346" s="32"/>
      <c r="R346" s="77"/>
      <c r="S346" s="30"/>
      <c r="T346" s="30"/>
      <c r="U346" s="30"/>
      <c r="V346" s="33"/>
      <c r="W346" s="32"/>
      <c r="X346" s="77"/>
    </row>
    <row x14ac:dyDescent="0.25" r="347" customHeight="1" ht="18">
      <c r="A347" s="33"/>
      <c r="B347" s="32"/>
      <c r="C347" s="77"/>
      <c r="D347" s="57"/>
      <c r="E347" s="57"/>
      <c r="F347" s="77"/>
      <c r="G347" s="33"/>
      <c r="H347" s="32"/>
      <c r="I347" s="77"/>
      <c r="J347" s="33"/>
      <c r="K347" s="32"/>
      <c r="L347" s="77"/>
      <c r="M347" s="33"/>
      <c r="N347" s="32"/>
      <c r="O347" s="77"/>
      <c r="P347" s="33"/>
      <c r="Q347" s="32"/>
      <c r="R347" s="77"/>
      <c r="S347" s="30"/>
      <c r="T347" s="30"/>
      <c r="U347" s="30"/>
      <c r="V347" s="33"/>
      <c r="W347" s="32"/>
      <c r="X347" s="77"/>
    </row>
    <row x14ac:dyDescent="0.25" r="348" customHeight="1" ht="18">
      <c r="A348" s="33"/>
      <c r="B348" s="32"/>
      <c r="C348" s="77"/>
      <c r="D348" s="57"/>
      <c r="E348" s="57"/>
      <c r="F348" s="77"/>
      <c r="G348" s="33"/>
      <c r="H348" s="32"/>
      <c r="I348" s="77"/>
      <c r="J348" s="33"/>
      <c r="K348" s="32"/>
      <c r="L348" s="77"/>
      <c r="M348" s="33"/>
      <c r="N348" s="32"/>
      <c r="O348" s="77"/>
      <c r="P348" s="33"/>
      <c r="Q348" s="32"/>
      <c r="R348" s="77"/>
      <c r="S348" s="30"/>
      <c r="T348" s="30"/>
      <c r="U348" s="30"/>
      <c r="V348" s="33"/>
      <c r="W348" s="32"/>
      <c r="X348" s="77"/>
    </row>
    <row x14ac:dyDescent="0.25" r="349" customHeight="1" ht="18">
      <c r="A349" s="33"/>
      <c r="B349" s="32"/>
      <c r="C349" s="77"/>
      <c r="D349" s="57"/>
      <c r="E349" s="57"/>
      <c r="F349" s="77"/>
      <c r="G349" s="33"/>
      <c r="H349" s="32"/>
      <c r="I349" s="77"/>
      <c r="J349" s="33"/>
      <c r="K349" s="32"/>
      <c r="L349" s="77"/>
      <c r="M349" s="33"/>
      <c r="N349" s="32"/>
      <c r="O349" s="77"/>
      <c r="P349" s="33"/>
      <c r="Q349" s="32"/>
      <c r="R349" s="77"/>
      <c r="S349" s="30"/>
      <c r="T349" s="30"/>
      <c r="U349" s="30"/>
      <c r="V349" s="33"/>
      <c r="W349" s="32"/>
      <c r="X349" s="77"/>
    </row>
    <row x14ac:dyDescent="0.25" r="350" customHeight="1" ht="18">
      <c r="A350" s="33"/>
      <c r="B350" s="32"/>
      <c r="C350" s="77"/>
      <c r="D350" s="57"/>
      <c r="E350" s="57"/>
      <c r="F350" s="77"/>
      <c r="G350" s="33"/>
      <c r="H350" s="32"/>
      <c r="I350" s="77"/>
      <c r="J350" s="33"/>
      <c r="K350" s="32"/>
      <c r="L350" s="77"/>
      <c r="M350" s="33"/>
      <c r="N350" s="32"/>
      <c r="O350" s="77"/>
      <c r="P350" s="33"/>
      <c r="Q350" s="32"/>
      <c r="R350" s="77"/>
      <c r="S350" s="30"/>
      <c r="T350" s="30"/>
      <c r="U350" s="30"/>
      <c r="V350" s="33"/>
      <c r="W350" s="32"/>
      <c r="X350" s="77"/>
    </row>
    <row x14ac:dyDescent="0.25" r="351" customHeight="1" ht="18">
      <c r="A351" s="33"/>
      <c r="B351" s="32"/>
      <c r="C351" s="77"/>
      <c r="D351" s="57"/>
      <c r="E351" s="57"/>
      <c r="F351" s="77"/>
      <c r="G351" s="33"/>
      <c r="H351" s="32"/>
      <c r="I351" s="77"/>
      <c r="J351" s="33"/>
      <c r="K351" s="32"/>
      <c r="L351" s="77"/>
      <c r="M351" s="33"/>
      <c r="N351" s="32"/>
      <c r="O351" s="77"/>
      <c r="P351" s="33"/>
      <c r="Q351" s="32"/>
      <c r="R351" s="77"/>
      <c r="S351" s="30"/>
      <c r="T351" s="30"/>
      <c r="U351" s="30"/>
      <c r="V351" s="33"/>
      <c r="W351" s="32"/>
      <c r="X351" s="77"/>
    </row>
    <row x14ac:dyDescent="0.25" r="352" customHeight="1" ht="18">
      <c r="A352" s="33"/>
      <c r="B352" s="32"/>
      <c r="C352" s="77"/>
      <c r="D352" s="57"/>
      <c r="E352" s="57"/>
      <c r="F352" s="77"/>
      <c r="G352" s="33"/>
      <c r="H352" s="32"/>
      <c r="I352" s="77"/>
      <c r="J352" s="33"/>
      <c r="K352" s="32"/>
      <c r="L352" s="77"/>
      <c r="M352" s="33"/>
      <c r="N352" s="32"/>
      <c r="O352" s="77"/>
      <c r="P352" s="33"/>
      <c r="Q352" s="32"/>
      <c r="R352" s="77"/>
      <c r="S352" s="30"/>
      <c r="T352" s="30"/>
      <c r="U352" s="30"/>
      <c r="V352" s="33"/>
      <c r="W352" s="32"/>
      <c r="X352" s="77"/>
    </row>
    <row x14ac:dyDescent="0.25" r="353" customHeight="1" ht="18">
      <c r="A353" s="33"/>
      <c r="B353" s="32"/>
      <c r="C353" s="77"/>
      <c r="D353" s="57"/>
      <c r="E353" s="57"/>
      <c r="F353" s="77"/>
      <c r="G353" s="33"/>
      <c r="H353" s="32"/>
      <c r="I353" s="77"/>
      <c r="J353" s="33"/>
      <c r="K353" s="32"/>
      <c r="L353" s="77"/>
      <c r="M353" s="33"/>
      <c r="N353" s="32"/>
      <c r="O353" s="77"/>
      <c r="P353" s="33"/>
      <c r="Q353" s="32"/>
      <c r="R353" s="77"/>
      <c r="S353" s="30"/>
      <c r="T353" s="30"/>
      <c r="U353" s="30"/>
      <c r="V353" s="33"/>
      <c r="W353" s="32"/>
      <c r="X353" s="77"/>
    </row>
    <row x14ac:dyDescent="0.25" r="354" customHeight="1" ht="18">
      <c r="A354" s="33"/>
      <c r="B354" s="32"/>
      <c r="C354" s="77"/>
      <c r="D354" s="57"/>
      <c r="E354" s="57"/>
      <c r="F354" s="77"/>
      <c r="G354" s="33"/>
      <c r="H354" s="32"/>
      <c r="I354" s="77"/>
      <c r="J354" s="33"/>
      <c r="K354" s="32"/>
      <c r="L354" s="77"/>
      <c r="M354" s="33"/>
      <c r="N354" s="32"/>
      <c r="O354" s="77"/>
      <c r="P354" s="33"/>
      <c r="Q354" s="32"/>
      <c r="R354" s="77"/>
      <c r="S354" s="30"/>
      <c r="T354" s="30"/>
      <c r="U354" s="30"/>
      <c r="V354" s="33"/>
      <c r="W354" s="32"/>
      <c r="X354" s="77"/>
    </row>
    <row x14ac:dyDescent="0.25" r="355" customHeight="1" ht="18">
      <c r="A355" s="33"/>
      <c r="B355" s="32"/>
      <c r="C355" s="77"/>
      <c r="D355" s="57"/>
      <c r="E355" s="57"/>
      <c r="F355" s="77"/>
      <c r="G355" s="33"/>
      <c r="H355" s="32"/>
      <c r="I355" s="77"/>
      <c r="J355" s="33"/>
      <c r="K355" s="32"/>
      <c r="L355" s="77"/>
      <c r="M355" s="33"/>
      <c r="N355" s="32"/>
      <c r="O355" s="77"/>
      <c r="P355" s="33"/>
      <c r="Q355" s="32"/>
      <c r="R355" s="77"/>
      <c r="S355" s="30"/>
      <c r="T355" s="30"/>
      <c r="U355" s="30"/>
      <c r="V355" s="33"/>
      <c r="W355" s="32"/>
      <c r="X355" s="77"/>
    </row>
    <row x14ac:dyDescent="0.25" r="356" customHeight="1" ht="18">
      <c r="A356" s="33"/>
      <c r="B356" s="32"/>
      <c r="C356" s="77"/>
      <c r="D356" s="57"/>
      <c r="E356" s="57"/>
      <c r="F356" s="77"/>
      <c r="G356" s="33"/>
      <c r="H356" s="32"/>
      <c r="I356" s="77"/>
      <c r="J356" s="33"/>
      <c r="K356" s="32"/>
      <c r="L356" s="77"/>
      <c r="M356" s="33"/>
      <c r="N356" s="32"/>
      <c r="O356" s="77"/>
      <c r="P356" s="33"/>
      <c r="Q356" s="32"/>
      <c r="R356" s="77"/>
      <c r="S356" s="30"/>
      <c r="T356" s="30"/>
      <c r="U356" s="30"/>
      <c r="V356" s="33"/>
      <c r="W356" s="32"/>
      <c r="X356" s="77"/>
    </row>
    <row x14ac:dyDescent="0.25" r="357" customHeight="1" ht="18">
      <c r="A357" s="33"/>
      <c r="B357" s="32"/>
      <c r="C357" s="77"/>
      <c r="D357" s="57"/>
      <c r="E357" s="57"/>
      <c r="F357" s="77"/>
      <c r="G357" s="33"/>
      <c r="H357" s="32"/>
      <c r="I357" s="77"/>
      <c r="J357" s="33"/>
      <c r="K357" s="32"/>
      <c r="L357" s="77"/>
      <c r="M357" s="33"/>
      <c r="N357" s="32"/>
      <c r="O357" s="77"/>
      <c r="P357" s="33"/>
      <c r="Q357" s="32"/>
      <c r="R357" s="77"/>
      <c r="S357" s="30"/>
      <c r="T357" s="30"/>
      <c r="U357" s="30"/>
      <c r="V357" s="33"/>
      <c r="W357" s="32"/>
      <c r="X357" s="77"/>
    </row>
    <row x14ac:dyDescent="0.25" r="358" customHeight="1" ht="18">
      <c r="A358" s="33"/>
      <c r="B358" s="32"/>
      <c r="C358" s="77"/>
      <c r="D358" s="57"/>
      <c r="E358" s="57"/>
      <c r="F358" s="77"/>
      <c r="G358" s="33"/>
      <c r="H358" s="32"/>
      <c r="I358" s="77"/>
      <c r="J358" s="33"/>
      <c r="K358" s="32"/>
      <c r="L358" s="77"/>
      <c r="M358" s="33"/>
      <c r="N358" s="32"/>
      <c r="O358" s="77"/>
      <c r="P358" s="33"/>
      <c r="Q358" s="32"/>
      <c r="R358" s="77"/>
      <c r="S358" s="30"/>
      <c r="T358" s="30"/>
      <c r="U358" s="30"/>
      <c r="V358" s="33"/>
      <c r="W358" s="32"/>
      <c r="X358" s="77"/>
    </row>
    <row x14ac:dyDescent="0.25" r="359" customHeight="1" ht="18">
      <c r="A359" s="33"/>
      <c r="B359" s="32"/>
      <c r="C359" s="77"/>
      <c r="D359" s="57"/>
      <c r="E359" s="57"/>
      <c r="F359" s="77"/>
      <c r="G359" s="33"/>
      <c r="H359" s="32"/>
      <c r="I359" s="77"/>
      <c r="J359" s="33"/>
      <c r="K359" s="32"/>
      <c r="L359" s="77"/>
      <c r="M359" s="33"/>
      <c r="N359" s="32"/>
      <c r="O359" s="77"/>
      <c r="P359" s="33"/>
      <c r="Q359" s="32"/>
      <c r="R359" s="77"/>
      <c r="S359" s="30"/>
      <c r="T359" s="30"/>
      <c r="U359" s="30"/>
      <c r="V359" s="33"/>
      <c r="W359" s="32"/>
      <c r="X359" s="77"/>
    </row>
    <row x14ac:dyDescent="0.25" r="360" customHeight="1" ht="18">
      <c r="A360" s="33"/>
      <c r="B360" s="32"/>
      <c r="C360" s="77"/>
      <c r="D360" s="57"/>
      <c r="E360" s="57"/>
      <c r="F360" s="77"/>
      <c r="G360" s="33"/>
      <c r="H360" s="32"/>
      <c r="I360" s="77"/>
      <c r="J360" s="33"/>
      <c r="K360" s="32"/>
      <c r="L360" s="77"/>
      <c r="M360" s="33"/>
      <c r="N360" s="32"/>
      <c r="O360" s="77"/>
      <c r="P360" s="33"/>
      <c r="Q360" s="32"/>
      <c r="R360" s="77"/>
      <c r="S360" s="30"/>
      <c r="T360" s="30"/>
      <c r="U360" s="30"/>
      <c r="V360" s="33"/>
      <c r="W360" s="32"/>
      <c r="X360" s="77"/>
    </row>
    <row x14ac:dyDescent="0.25" r="361" customHeight="1" ht="18">
      <c r="A361" s="33"/>
      <c r="B361" s="32"/>
      <c r="C361" s="77"/>
      <c r="D361" s="57"/>
      <c r="E361" s="57"/>
      <c r="F361" s="77"/>
      <c r="G361" s="33"/>
      <c r="H361" s="32"/>
      <c r="I361" s="77"/>
      <c r="J361" s="33"/>
      <c r="K361" s="32"/>
      <c r="L361" s="77"/>
      <c r="M361" s="33"/>
      <c r="N361" s="32"/>
      <c r="O361" s="77"/>
      <c r="P361" s="33"/>
      <c r="Q361" s="32"/>
      <c r="R361" s="77"/>
      <c r="S361" s="30"/>
      <c r="T361" s="30"/>
      <c r="U361" s="30"/>
      <c r="V361" s="33"/>
      <c r="W361" s="32"/>
      <c r="X361" s="77"/>
    </row>
    <row x14ac:dyDescent="0.25" r="362" customHeight="1" ht="18">
      <c r="A362" s="33"/>
      <c r="B362" s="32"/>
      <c r="C362" s="77"/>
      <c r="D362" s="57"/>
      <c r="E362" s="57"/>
      <c r="F362" s="77"/>
      <c r="G362" s="33"/>
      <c r="H362" s="32"/>
      <c r="I362" s="77"/>
      <c r="J362" s="33"/>
      <c r="K362" s="32"/>
      <c r="L362" s="77"/>
      <c r="M362" s="33"/>
      <c r="N362" s="32"/>
      <c r="O362" s="77"/>
      <c r="P362" s="33"/>
      <c r="Q362" s="32"/>
      <c r="R362" s="77"/>
      <c r="S362" s="30"/>
      <c r="T362" s="30"/>
      <c r="U362" s="30"/>
      <c r="V362" s="33"/>
      <c r="W362" s="32"/>
      <c r="X362" s="77"/>
    </row>
    <row x14ac:dyDescent="0.25" r="363" customHeight="1" ht="18">
      <c r="A363" s="33"/>
      <c r="B363" s="32"/>
      <c r="C363" s="77"/>
      <c r="D363" s="57"/>
      <c r="E363" s="57"/>
      <c r="F363" s="77"/>
      <c r="G363" s="33"/>
      <c r="H363" s="32"/>
      <c r="I363" s="77"/>
      <c r="J363" s="33"/>
      <c r="K363" s="32"/>
      <c r="L363" s="77"/>
      <c r="M363" s="33"/>
      <c r="N363" s="32"/>
      <c r="O363" s="77"/>
      <c r="P363" s="33"/>
      <c r="Q363" s="32"/>
      <c r="R363" s="77"/>
      <c r="S363" s="30"/>
      <c r="T363" s="30"/>
      <c r="U363" s="30"/>
      <c r="V363" s="33"/>
      <c r="W363" s="32"/>
      <c r="X363" s="77"/>
    </row>
    <row x14ac:dyDescent="0.25" r="364" customHeight="1" ht="18">
      <c r="A364" s="33"/>
      <c r="B364" s="32"/>
      <c r="C364" s="77"/>
      <c r="D364" s="57"/>
      <c r="E364" s="57"/>
      <c r="F364" s="77"/>
      <c r="G364" s="33"/>
      <c r="H364" s="32"/>
      <c r="I364" s="77"/>
      <c r="J364" s="33"/>
      <c r="K364" s="32"/>
      <c r="L364" s="77"/>
      <c r="M364" s="33"/>
      <c r="N364" s="32"/>
      <c r="O364" s="77"/>
      <c r="P364" s="33"/>
      <c r="Q364" s="32"/>
      <c r="R364" s="77"/>
      <c r="S364" s="30"/>
      <c r="T364" s="30"/>
      <c r="U364" s="30"/>
      <c r="V364" s="33"/>
      <c r="W364" s="32"/>
      <c r="X364" s="77"/>
    </row>
    <row x14ac:dyDescent="0.25" r="365" customHeight="1" ht="18">
      <c r="A365" s="33"/>
      <c r="B365" s="32"/>
      <c r="C365" s="77"/>
      <c r="D365" s="57"/>
      <c r="E365" s="57"/>
      <c r="F365" s="77"/>
      <c r="G365" s="33"/>
      <c r="H365" s="32"/>
      <c r="I365" s="77"/>
      <c r="J365" s="33"/>
      <c r="K365" s="32"/>
      <c r="L365" s="77"/>
      <c r="M365" s="33"/>
      <c r="N365" s="32"/>
      <c r="O365" s="77"/>
      <c r="P365" s="33"/>
      <c r="Q365" s="32"/>
      <c r="R365" s="77"/>
      <c r="S365" s="30"/>
      <c r="T365" s="30"/>
      <c r="U365" s="30"/>
      <c r="V365" s="33"/>
      <c r="W365" s="32"/>
      <c r="X365" s="77"/>
    </row>
    <row x14ac:dyDescent="0.25" r="366" customHeight="1" ht="18">
      <c r="A366" s="33"/>
      <c r="B366" s="32"/>
      <c r="C366" s="77"/>
      <c r="D366" s="57"/>
      <c r="E366" s="57"/>
      <c r="F366" s="77"/>
      <c r="G366" s="33"/>
      <c r="H366" s="32"/>
      <c r="I366" s="77"/>
      <c r="J366" s="33"/>
      <c r="K366" s="32"/>
      <c r="L366" s="77"/>
      <c r="M366" s="33"/>
      <c r="N366" s="32"/>
      <c r="O366" s="77"/>
      <c r="P366" s="33"/>
      <c r="Q366" s="32"/>
      <c r="R366" s="77"/>
      <c r="S366" s="30"/>
      <c r="T366" s="30"/>
      <c r="U366" s="30"/>
      <c r="V366" s="33"/>
      <c r="W366" s="32"/>
      <c r="X366" s="77"/>
    </row>
    <row x14ac:dyDescent="0.25" r="367" customHeight="1" ht="18">
      <c r="A367" s="33"/>
      <c r="B367" s="32"/>
      <c r="C367" s="77"/>
      <c r="D367" s="57"/>
      <c r="E367" s="57"/>
      <c r="F367" s="77"/>
      <c r="G367" s="33"/>
      <c r="H367" s="32"/>
      <c r="I367" s="77"/>
      <c r="J367" s="33"/>
      <c r="K367" s="32"/>
      <c r="L367" s="77"/>
      <c r="M367" s="33"/>
      <c r="N367" s="32"/>
      <c r="O367" s="77"/>
      <c r="P367" s="33"/>
      <c r="Q367" s="32"/>
      <c r="R367" s="77"/>
      <c r="S367" s="30"/>
      <c r="T367" s="30"/>
      <c r="U367" s="30"/>
      <c r="V367" s="33"/>
      <c r="W367" s="32"/>
      <c r="X367" s="77"/>
    </row>
    <row x14ac:dyDescent="0.25" r="368" customHeight="1" ht="18">
      <c r="A368" s="33"/>
      <c r="B368" s="32"/>
      <c r="C368" s="77"/>
      <c r="D368" s="57"/>
      <c r="E368" s="57"/>
      <c r="F368" s="77"/>
      <c r="G368" s="33"/>
      <c r="H368" s="32"/>
      <c r="I368" s="77"/>
      <c r="J368" s="33"/>
      <c r="K368" s="32"/>
      <c r="L368" s="77"/>
      <c r="M368" s="33"/>
      <c r="N368" s="32"/>
      <c r="O368" s="77"/>
      <c r="P368" s="33"/>
      <c r="Q368" s="32"/>
      <c r="R368" s="77"/>
      <c r="S368" s="30"/>
      <c r="T368" s="30"/>
      <c r="U368" s="30"/>
      <c r="V368" s="33"/>
      <c r="W368" s="32"/>
      <c r="X368" s="77"/>
    </row>
    <row x14ac:dyDescent="0.25" r="369" customHeight="1" ht="18">
      <c r="A369" s="33"/>
      <c r="B369" s="32"/>
      <c r="C369" s="77"/>
      <c r="D369" s="57"/>
      <c r="E369" s="57"/>
      <c r="F369" s="77"/>
      <c r="G369" s="33"/>
      <c r="H369" s="32"/>
      <c r="I369" s="77"/>
      <c r="J369" s="33"/>
      <c r="K369" s="32"/>
      <c r="L369" s="77"/>
      <c r="M369" s="33"/>
      <c r="N369" s="32"/>
      <c r="O369" s="77"/>
      <c r="P369" s="33"/>
      <c r="Q369" s="32"/>
      <c r="R369" s="77"/>
      <c r="S369" s="30"/>
      <c r="T369" s="30"/>
      <c r="U369" s="30"/>
      <c r="V369" s="33"/>
      <c r="W369" s="32"/>
      <c r="X369" s="77"/>
    </row>
    <row x14ac:dyDescent="0.25" r="370" customHeight="1" ht="18">
      <c r="A370" s="33"/>
      <c r="B370" s="32"/>
      <c r="C370" s="77"/>
      <c r="D370" s="57"/>
      <c r="E370" s="57"/>
      <c r="F370" s="77"/>
      <c r="G370" s="33"/>
      <c r="H370" s="32"/>
      <c r="I370" s="77"/>
      <c r="J370" s="33"/>
      <c r="K370" s="32"/>
      <c r="L370" s="77"/>
      <c r="M370" s="33"/>
      <c r="N370" s="32"/>
      <c r="O370" s="77"/>
      <c r="P370" s="33"/>
      <c r="Q370" s="32"/>
      <c r="R370" s="77"/>
      <c r="S370" s="30"/>
      <c r="T370" s="30"/>
      <c r="U370" s="30"/>
      <c r="V370" s="33"/>
      <c r="W370" s="32"/>
      <c r="X370" s="77"/>
    </row>
    <row x14ac:dyDescent="0.25" r="371" customHeight="1" ht="18">
      <c r="A371" s="33"/>
      <c r="B371" s="32"/>
      <c r="C371" s="77"/>
      <c r="D371" s="57"/>
      <c r="E371" s="57"/>
      <c r="F371" s="77"/>
      <c r="G371" s="33"/>
      <c r="H371" s="32"/>
      <c r="I371" s="77"/>
      <c r="J371" s="33"/>
      <c r="K371" s="32"/>
      <c r="L371" s="77"/>
      <c r="M371" s="33"/>
      <c r="N371" s="32"/>
      <c r="O371" s="77"/>
      <c r="P371" s="33"/>
      <c r="Q371" s="32"/>
      <c r="R371" s="77"/>
      <c r="S371" s="30"/>
      <c r="T371" s="30"/>
      <c r="U371" s="30"/>
      <c r="V371" s="33"/>
      <c r="W371" s="32"/>
      <c r="X371" s="77"/>
    </row>
    <row x14ac:dyDescent="0.25" r="372" customHeight="1" ht="18">
      <c r="A372" s="33"/>
      <c r="B372" s="32"/>
      <c r="C372" s="77"/>
      <c r="D372" s="57"/>
      <c r="E372" s="57"/>
      <c r="F372" s="77"/>
      <c r="G372" s="33"/>
      <c r="H372" s="32"/>
      <c r="I372" s="77"/>
      <c r="J372" s="33"/>
      <c r="K372" s="32"/>
      <c r="L372" s="77"/>
      <c r="M372" s="33"/>
      <c r="N372" s="32"/>
      <c r="O372" s="77"/>
      <c r="P372" s="33"/>
      <c r="Q372" s="32"/>
      <c r="R372" s="77"/>
      <c r="S372" s="30"/>
      <c r="T372" s="30"/>
      <c r="U372" s="30"/>
      <c r="V372" s="33"/>
      <c r="W372" s="32"/>
      <c r="X372" s="77"/>
    </row>
    <row x14ac:dyDescent="0.25" r="373" customHeight="1" ht="18">
      <c r="A373" s="33"/>
      <c r="B373" s="32"/>
      <c r="C373" s="77"/>
      <c r="D373" s="57"/>
      <c r="E373" s="57"/>
      <c r="F373" s="77"/>
      <c r="G373" s="33"/>
      <c r="H373" s="32"/>
      <c r="I373" s="77"/>
      <c r="J373" s="33"/>
      <c r="K373" s="32"/>
      <c r="L373" s="77"/>
      <c r="M373" s="33"/>
      <c r="N373" s="32"/>
      <c r="O373" s="77"/>
      <c r="P373" s="33"/>
      <c r="Q373" s="32"/>
      <c r="R373" s="77"/>
      <c r="S373" s="30"/>
      <c r="T373" s="30"/>
      <c r="U373" s="30"/>
      <c r="V373" s="33"/>
      <c r="W373" s="32"/>
      <c r="X373" s="77"/>
    </row>
    <row x14ac:dyDescent="0.25" r="374" customHeight="1" ht="18">
      <c r="A374" s="33"/>
      <c r="B374" s="32"/>
      <c r="C374" s="77"/>
      <c r="D374" s="57"/>
      <c r="E374" s="57"/>
      <c r="F374" s="77"/>
      <c r="G374" s="33"/>
      <c r="H374" s="32"/>
      <c r="I374" s="77"/>
      <c r="J374" s="33"/>
      <c r="K374" s="32"/>
      <c r="L374" s="77"/>
      <c r="M374" s="33"/>
      <c r="N374" s="32"/>
      <c r="O374" s="77"/>
      <c r="P374" s="33"/>
      <c r="Q374" s="32"/>
      <c r="R374" s="77"/>
      <c r="S374" s="30"/>
      <c r="T374" s="30"/>
      <c r="U374" s="30"/>
      <c r="V374" s="33"/>
      <c r="W374" s="32"/>
      <c r="X374" s="77"/>
    </row>
    <row x14ac:dyDescent="0.25" r="375" customHeight="1" ht="18">
      <c r="A375" s="33"/>
      <c r="B375" s="32"/>
      <c r="C375" s="77"/>
      <c r="D375" s="57"/>
      <c r="E375" s="57"/>
      <c r="F375" s="77"/>
      <c r="G375" s="33"/>
      <c r="H375" s="32"/>
      <c r="I375" s="77"/>
      <c r="J375" s="33"/>
      <c r="K375" s="32"/>
      <c r="L375" s="77"/>
      <c r="M375" s="33"/>
      <c r="N375" s="32"/>
      <c r="O375" s="77"/>
      <c r="P375" s="33"/>
      <c r="Q375" s="32"/>
      <c r="R375" s="77"/>
      <c r="S375" s="30"/>
      <c r="T375" s="30"/>
      <c r="U375" s="30"/>
      <c r="V375" s="33"/>
      <c r="W375" s="32"/>
      <c r="X375" s="77"/>
    </row>
    <row x14ac:dyDescent="0.25" r="376" customHeight="1" ht="18">
      <c r="A376" s="33"/>
      <c r="B376" s="32"/>
      <c r="C376" s="77"/>
      <c r="D376" s="57"/>
      <c r="E376" s="57"/>
      <c r="F376" s="77"/>
      <c r="G376" s="33"/>
      <c r="H376" s="32"/>
      <c r="I376" s="77"/>
      <c r="J376" s="33"/>
      <c r="K376" s="32"/>
      <c r="L376" s="77"/>
      <c r="M376" s="33"/>
      <c r="N376" s="32"/>
      <c r="O376" s="77"/>
      <c r="P376" s="33"/>
      <c r="Q376" s="32"/>
      <c r="R376" s="77"/>
      <c r="S376" s="30"/>
      <c r="T376" s="30"/>
      <c r="U376" s="30"/>
      <c r="V376" s="33"/>
      <c r="W376" s="32"/>
      <c r="X376" s="77"/>
    </row>
    <row x14ac:dyDescent="0.25" r="377" customHeight="1" ht="18">
      <c r="A377" s="33"/>
      <c r="B377" s="32"/>
      <c r="C377" s="77"/>
      <c r="D377" s="57"/>
      <c r="E377" s="57"/>
      <c r="F377" s="77"/>
      <c r="G377" s="33"/>
      <c r="H377" s="32"/>
      <c r="I377" s="77"/>
      <c r="J377" s="33"/>
      <c r="K377" s="32"/>
      <c r="L377" s="77"/>
      <c r="M377" s="33"/>
      <c r="N377" s="32"/>
      <c r="O377" s="77"/>
      <c r="P377" s="33"/>
      <c r="Q377" s="32"/>
      <c r="R377" s="77"/>
      <c r="S377" s="30"/>
      <c r="T377" s="30"/>
      <c r="U377" s="30"/>
      <c r="V377" s="33"/>
      <c r="W377" s="32"/>
      <c r="X377" s="77"/>
    </row>
    <row x14ac:dyDescent="0.25" r="378" customHeight="1" ht="18">
      <c r="A378" s="33"/>
      <c r="B378" s="32"/>
      <c r="C378" s="77"/>
      <c r="D378" s="57"/>
      <c r="E378" s="57"/>
      <c r="F378" s="77"/>
      <c r="G378" s="33"/>
      <c r="H378" s="32"/>
      <c r="I378" s="77"/>
      <c r="J378" s="33"/>
      <c r="K378" s="32"/>
      <c r="L378" s="77"/>
      <c r="M378" s="33"/>
      <c r="N378" s="32"/>
      <c r="O378" s="77"/>
      <c r="P378" s="33"/>
      <c r="Q378" s="32"/>
      <c r="R378" s="77"/>
      <c r="S378" s="30"/>
      <c r="T378" s="30"/>
      <c r="U378" s="30"/>
      <c r="V378" s="33"/>
      <c r="W378" s="32"/>
      <c r="X378" s="77"/>
    </row>
    <row x14ac:dyDescent="0.25" r="379" customHeight="1" ht="18">
      <c r="A379" s="33"/>
      <c r="B379" s="32"/>
      <c r="C379" s="77"/>
      <c r="D379" s="57"/>
      <c r="E379" s="57"/>
      <c r="F379" s="77"/>
      <c r="G379" s="33"/>
      <c r="H379" s="32"/>
      <c r="I379" s="77"/>
      <c r="J379" s="33"/>
      <c r="K379" s="32"/>
      <c r="L379" s="77"/>
      <c r="M379" s="33"/>
      <c r="N379" s="32"/>
      <c r="O379" s="77"/>
      <c r="P379" s="33"/>
      <c r="Q379" s="32"/>
      <c r="R379" s="77"/>
      <c r="S379" s="30"/>
      <c r="T379" s="30"/>
      <c r="U379" s="30"/>
      <c r="V379" s="33"/>
      <c r="W379" s="32"/>
      <c r="X379" s="77"/>
    </row>
    <row x14ac:dyDescent="0.25" r="380" customHeight="1" ht="18">
      <c r="A380" s="33"/>
      <c r="B380" s="32"/>
      <c r="C380" s="77"/>
      <c r="D380" s="57"/>
      <c r="E380" s="57"/>
      <c r="F380" s="77"/>
      <c r="G380" s="33"/>
      <c r="H380" s="32"/>
      <c r="I380" s="77"/>
      <c r="J380" s="33"/>
      <c r="K380" s="32"/>
      <c r="L380" s="77"/>
      <c r="M380" s="33"/>
      <c r="N380" s="32"/>
      <c r="O380" s="77"/>
      <c r="P380" s="33"/>
      <c r="Q380" s="32"/>
      <c r="R380" s="77"/>
      <c r="S380" s="30"/>
      <c r="T380" s="30"/>
      <c r="U380" s="30"/>
      <c r="V380" s="33"/>
      <c r="W380" s="32"/>
      <c r="X380" s="77"/>
    </row>
    <row x14ac:dyDescent="0.25" r="381" customHeight="1" ht="18">
      <c r="A381" s="33"/>
      <c r="B381" s="32"/>
      <c r="C381" s="77"/>
      <c r="D381" s="57"/>
      <c r="E381" s="57"/>
      <c r="F381" s="77"/>
      <c r="G381" s="33"/>
      <c r="H381" s="32"/>
      <c r="I381" s="77"/>
      <c r="J381" s="33"/>
      <c r="K381" s="32"/>
      <c r="L381" s="77"/>
      <c r="M381" s="33"/>
      <c r="N381" s="32"/>
      <c r="O381" s="77"/>
      <c r="P381" s="33"/>
      <c r="Q381" s="32"/>
      <c r="R381" s="77"/>
      <c r="S381" s="30"/>
      <c r="T381" s="30"/>
      <c r="U381" s="30"/>
      <c r="V381" s="33"/>
      <c r="W381" s="32"/>
      <c r="X381" s="77"/>
    </row>
    <row x14ac:dyDescent="0.25" r="382" customHeight="1" ht="18">
      <c r="A382" s="33"/>
      <c r="B382" s="32"/>
      <c r="C382" s="77"/>
      <c r="D382" s="57"/>
      <c r="E382" s="57"/>
      <c r="F382" s="77"/>
      <c r="G382" s="33"/>
      <c r="H382" s="32"/>
      <c r="I382" s="77"/>
      <c r="J382" s="33"/>
      <c r="K382" s="32"/>
      <c r="L382" s="77"/>
      <c r="M382" s="33"/>
      <c r="N382" s="32"/>
      <c r="O382" s="77"/>
      <c r="P382" s="33"/>
      <c r="Q382" s="32"/>
      <c r="R382" s="77"/>
      <c r="S382" s="30"/>
      <c r="T382" s="30"/>
      <c r="U382" s="30"/>
      <c r="V382" s="33"/>
      <c r="W382" s="32"/>
      <c r="X382" s="77"/>
    </row>
    <row x14ac:dyDescent="0.25" r="383" customHeight="1" ht="18">
      <c r="A383" s="33"/>
      <c r="B383" s="32"/>
      <c r="C383" s="77"/>
      <c r="D383" s="57"/>
      <c r="E383" s="57"/>
      <c r="F383" s="77"/>
      <c r="G383" s="33"/>
      <c r="H383" s="32"/>
      <c r="I383" s="77"/>
      <c r="J383" s="33"/>
      <c r="K383" s="32"/>
      <c r="L383" s="77"/>
      <c r="M383" s="33"/>
      <c r="N383" s="32"/>
      <c r="O383" s="77"/>
      <c r="P383" s="33"/>
      <c r="Q383" s="32"/>
      <c r="R383" s="77"/>
      <c r="S383" s="30"/>
      <c r="T383" s="30"/>
      <c r="U383" s="30"/>
      <c r="V383" s="33"/>
      <c r="W383" s="32"/>
      <c r="X383" s="77"/>
    </row>
    <row x14ac:dyDescent="0.25" r="384" customHeight="1" ht="18">
      <c r="A384" s="33"/>
      <c r="B384" s="32"/>
      <c r="C384" s="77"/>
      <c r="D384" s="57"/>
      <c r="E384" s="57"/>
      <c r="F384" s="77"/>
      <c r="G384" s="33"/>
      <c r="H384" s="32"/>
      <c r="I384" s="77"/>
      <c r="J384" s="33"/>
      <c r="K384" s="32"/>
      <c r="L384" s="77"/>
      <c r="M384" s="33"/>
      <c r="N384" s="32"/>
      <c r="O384" s="77"/>
      <c r="P384" s="33"/>
      <c r="Q384" s="32"/>
      <c r="R384" s="77"/>
      <c r="S384" s="30"/>
      <c r="T384" s="30"/>
      <c r="U384" s="30"/>
      <c r="V384" s="33"/>
      <c r="W384" s="32"/>
      <c r="X384" s="77"/>
    </row>
    <row x14ac:dyDescent="0.25" r="385" customHeight="1" ht="18">
      <c r="A385" s="33"/>
      <c r="B385" s="32"/>
      <c r="C385" s="77"/>
      <c r="D385" s="57"/>
      <c r="E385" s="57"/>
      <c r="F385" s="77"/>
      <c r="G385" s="33"/>
      <c r="H385" s="32"/>
      <c r="I385" s="77"/>
      <c r="J385" s="33"/>
      <c r="K385" s="32"/>
      <c r="L385" s="77"/>
      <c r="M385" s="33"/>
      <c r="N385" s="32"/>
      <c r="O385" s="77"/>
      <c r="P385" s="33"/>
      <c r="Q385" s="32"/>
      <c r="R385" s="77"/>
      <c r="S385" s="30"/>
      <c r="T385" s="30"/>
      <c r="U385" s="30"/>
      <c r="V385" s="33"/>
      <c r="W385" s="32"/>
      <c r="X385" s="77"/>
    </row>
    <row x14ac:dyDescent="0.25" r="386" customHeight="1" ht="18">
      <c r="A386" s="33"/>
      <c r="B386" s="32"/>
      <c r="C386" s="77"/>
      <c r="D386" s="57"/>
      <c r="E386" s="57"/>
      <c r="F386" s="77"/>
      <c r="G386" s="33"/>
      <c r="H386" s="32"/>
      <c r="I386" s="77"/>
      <c r="J386" s="33"/>
      <c r="K386" s="32"/>
      <c r="L386" s="77"/>
      <c r="M386" s="33"/>
      <c r="N386" s="32"/>
      <c r="O386" s="77"/>
      <c r="P386" s="33"/>
      <c r="Q386" s="32"/>
      <c r="R386" s="77"/>
      <c r="S386" s="30"/>
      <c r="T386" s="30"/>
      <c r="U386" s="30"/>
      <c r="V386" s="33"/>
      <c r="W386" s="32"/>
      <c r="X386" s="77"/>
    </row>
    <row x14ac:dyDescent="0.25" r="387" customHeight="1" ht="18">
      <c r="A387" s="33"/>
      <c r="B387" s="32"/>
      <c r="C387" s="77"/>
      <c r="D387" s="57"/>
      <c r="E387" s="57"/>
      <c r="F387" s="77"/>
      <c r="G387" s="33"/>
      <c r="H387" s="32"/>
      <c r="I387" s="77"/>
      <c r="J387" s="33"/>
      <c r="K387" s="32"/>
      <c r="L387" s="77"/>
      <c r="M387" s="33"/>
      <c r="N387" s="32"/>
      <c r="O387" s="77"/>
      <c r="P387" s="33"/>
      <c r="Q387" s="32"/>
      <c r="R387" s="77"/>
      <c r="S387" s="30"/>
      <c r="T387" s="30"/>
      <c r="U387" s="30"/>
      <c r="V387" s="33"/>
      <c r="W387" s="32"/>
      <c r="X387" s="77"/>
    </row>
    <row x14ac:dyDescent="0.25" r="388" customHeight="1" ht="18">
      <c r="A388" s="33"/>
      <c r="B388" s="32"/>
      <c r="C388" s="77"/>
      <c r="D388" s="57"/>
      <c r="E388" s="57"/>
      <c r="F388" s="77"/>
      <c r="G388" s="33"/>
      <c r="H388" s="32"/>
      <c r="I388" s="77"/>
      <c r="J388" s="33"/>
      <c r="K388" s="32"/>
      <c r="L388" s="77"/>
      <c r="M388" s="33"/>
      <c r="N388" s="32"/>
      <c r="O388" s="77"/>
      <c r="P388" s="33"/>
      <c r="Q388" s="32"/>
      <c r="R388" s="77"/>
      <c r="S388" s="30"/>
      <c r="T388" s="30"/>
      <c r="U388" s="30"/>
      <c r="V388" s="33"/>
      <c r="W388" s="32"/>
      <c r="X388" s="77"/>
    </row>
    <row x14ac:dyDescent="0.25" r="389" customHeight="1" ht="18">
      <c r="A389" s="33"/>
      <c r="B389" s="32"/>
      <c r="C389" s="77"/>
      <c r="D389" s="57"/>
      <c r="E389" s="57"/>
      <c r="F389" s="77"/>
      <c r="G389" s="33"/>
      <c r="H389" s="32"/>
      <c r="I389" s="77"/>
      <c r="J389" s="33"/>
      <c r="K389" s="32"/>
      <c r="L389" s="77"/>
      <c r="M389" s="33"/>
      <c r="N389" s="32"/>
      <c r="O389" s="77"/>
      <c r="P389" s="33"/>
      <c r="Q389" s="32"/>
      <c r="R389" s="77"/>
      <c r="S389" s="30"/>
      <c r="T389" s="30"/>
      <c r="U389" s="30"/>
      <c r="V389" s="33"/>
      <c r="W389" s="32"/>
      <c r="X389" s="77"/>
    </row>
    <row x14ac:dyDescent="0.25" r="390" customHeight="1" ht="18">
      <c r="A390" s="33"/>
      <c r="B390" s="32"/>
      <c r="C390" s="77"/>
      <c r="D390" s="57"/>
      <c r="E390" s="57"/>
      <c r="F390" s="77"/>
      <c r="G390" s="33"/>
      <c r="H390" s="32"/>
      <c r="I390" s="77"/>
      <c r="J390" s="33"/>
      <c r="K390" s="32"/>
      <c r="L390" s="77"/>
      <c r="M390" s="33"/>
      <c r="N390" s="32"/>
      <c r="O390" s="77"/>
      <c r="P390" s="33"/>
      <c r="Q390" s="32"/>
      <c r="R390" s="77"/>
      <c r="S390" s="30"/>
      <c r="T390" s="30"/>
      <c r="U390" s="30"/>
      <c r="V390" s="33"/>
      <c r="W390" s="32"/>
      <c r="X390" s="77"/>
    </row>
    <row x14ac:dyDescent="0.25" r="391" customHeight="1" ht="18">
      <c r="A391" s="33"/>
      <c r="B391" s="32"/>
      <c r="C391" s="77"/>
      <c r="D391" s="57"/>
      <c r="E391" s="57"/>
      <c r="F391" s="77"/>
      <c r="G391" s="33"/>
      <c r="H391" s="32"/>
      <c r="I391" s="77"/>
      <c r="J391" s="33"/>
      <c r="K391" s="32"/>
      <c r="L391" s="77"/>
      <c r="M391" s="33"/>
      <c r="N391" s="32"/>
      <c r="O391" s="77"/>
      <c r="P391" s="33"/>
      <c r="Q391" s="32"/>
      <c r="R391" s="77"/>
      <c r="S391" s="30"/>
      <c r="T391" s="30"/>
      <c r="U391" s="30"/>
      <c r="V391" s="33"/>
      <c r="W391" s="32"/>
      <c r="X391" s="77"/>
    </row>
    <row x14ac:dyDescent="0.25" r="392" customHeight="1" ht="18">
      <c r="A392" s="33"/>
      <c r="B392" s="32"/>
      <c r="C392" s="77"/>
      <c r="D392" s="57"/>
      <c r="E392" s="57"/>
      <c r="F392" s="77"/>
      <c r="G392" s="33"/>
      <c r="H392" s="32"/>
      <c r="I392" s="77"/>
      <c r="J392" s="33"/>
      <c r="K392" s="32"/>
      <c r="L392" s="77"/>
      <c r="M392" s="33"/>
      <c r="N392" s="32"/>
      <c r="O392" s="77"/>
      <c r="P392" s="33"/>
      <c r="Q392" s="32"/>
      <c r="R392" s="77"/>
      <c r="S392" s="30"/>
      <c r="T392" s="30"/>
      <c r="U392" s="30"/>
      <c r="V392" s="33"/>
      <c r="W392" s="32"/>
      <c r="X392" s="77"/>
    </row>
    <row x14ac:dyDescent="0.25" r="393" customHeight="1" ht="18">
      <c r="A393" s="33"/>
      <c r="B393" s="32"/>
      <c r="C393" s="77"/>
      <c r="D393" s="57"/>
      <c r="E393" s="57"/>
      <c r="F393" s="77"/>
      <c r="G393" s="33"/>
      <c r="H393" s="32"/>
      <c r="I393" s="77"/>
      <c r="J393" s="33"/>
      <c r="K393" s="32"/>
      <c r="L393" s="77"/>
      <c r="M393" s="33"/>
      <c r="N393" s="32"/>
      <c r="O393" s="77"/>
      <c r="P393" s="33"/>
      <c r="Q393" s="32"/>
      <c r="R393" s="77"/>
      <c r="S393" s="30"/>
      <c r="T393" s="30"/>
      <c r="U393" s="30"/>
      <c r="V393" s="33"/>
      <c r="W393" s="32"/>
      <c r="X393" s="77"/>
    </row>
    <row x14ac:dyDescent="0.25" r="394" customHeight="1" ht="18">
      <c r="A394" s="33"/>
      <c r="B394" s="32"/>
      <c r="C394" s="77"/>
      <c r="D394" s="57"/>
      <c r="E394" s="57"/>
      <c r="F394" s="77"/>
      <c r="G394" s="33"/>
      <c r="H394" s="32"/>
      <c r="I394" s="77"/>
      <c r="J394" s="33"/>
      <c r="K394" s="32"/>
      <c r="L394" s="77"/>
      <c r="M394" s="33"/>
      <c r="N394" s="32"/>
      <c r="O394" s="77"/>
      <c r="P394" s="33"/>
      <c r="Q394" s="32"/>
      <c r="R394" s="77"/>
      <c r="S394" s="30"/>
      <c r="T394" s="30"/>
      <c r="U394" s="30"/>
      <c r="V394" s="33"/>
      <c r="W394" s="32"/>
      <c r="X394" s="77"/>
    </row>
    <row x14ac:dyDescent="0.25" r="395" customHeight="1" ht="18">
      <c r="A395" s="33"/>
      <c r="B395" s="32"/>
      <c r="C395" s="77"/>
      <c r="D395" s="57"/>
      <c r="E395" s="57"/>
      <c r="F395" s="77"/>
      <c r="G395" s="33"/>
      <c r="H395" s="32"/>
      <c r="I395" s="77"/>
      <c r="J395" s="33"/>
      <c r="K395" s="32"/>
      <c r="L395" s="77"/>
      <c r="M395" s="33"/>
      <c r="N395" s="32"/>
      <c r="O395" s="77"/>
      <c r="P395" s="33"/>
      <c r="Q395" s="32"/>
      <c r="R395" s="77"/>
      <c r="S395" s="30"/>
      <c r="T395" s="30"/>
      <c r="U395" s="30"/>
      <c r="V395" s="33"/>
      <c r="W395" s="32"/>
      <c r="X395" s="77"/>
    </row>
    <row x14ac:dyDescent="0.25" r="396" customHeight="1" ht="18">
      <c r="A396" s="33"/>
      <c r="B396" s="32"/>
      <c r="C396" s="77"/>
      <c r="D396" s="57"/>
      <c r="E396" s="57"/>
      <c r="F396" s="77"/>
      <c r="G396" s="33"/>
      <c r="H396" s="32"/>
      <c r="I396" s="77"/>
      <c r="J396" s="33"/>
      <c r="K396" s="32"/>
      <c r="L396" s="77"/>
      <c r="M396" s="33"/>
      <c r="N396" s="32"/>
      <c r="O396" s="77"/>
      <c r="P396" s="33"/>
      <c r="Q396" s="32"/>
      <c r="R396" s="77"/>
      <c r="S396" s="30"/>
      <c r="T396" s="30"/>
      <c r="U396" s="30"/>
      <c r="V396" s="33"/>
      <c r="W396" s="32"/>
      <c r="X396" s="77"/>
    </row>
    <row x14ac:dyDescent="0.25" r="397" customHeight="1" ht="18">
      <c r="A397" s="33"/>
      <c r="B397" s="32"/>
      <c r="C397" s="77"/>
      <c r="D397" s="57"/>
      <c r="E397" s="57"/>
      <c r="F397" s="77"/>
      <c r="G397" s="33"/>
      <c r="H397" s="32"/>
      <c r="I397" s="77"/>
      <c r="J397" s="33"/>
      <c r="K397" s="32"/>
      <c r="L397" s="77"/>
      <c r="M397" s="33"/>
      <c r="N397" s="32"/>
      <c r="O397" s="77"/>
      <c r="P397" s="33"/>
      <c r="Q397" s="32"/>
      <c r="R397" s="77"/>
      <c r="S397" s="30"/>
      <c r="T397" s="30"/>
      <c r="U397" s="30"/>
      <c r="V397" s="33"/>
      <c r="W397" s="32"/>
      <c r="X397" s="77"/>
    </row>
    <row x14ac:dyDescent="0.25" r="398" customHeight="1" ht="18">
      <c r="A398" s="33"/>
      <c r="B398" s="32"/>
      <c r="C398" s="77"/>
      <c r="D398" s="57"/>
      <c r="E398" s="57"/>
      <c r="F398" s="77"/>
      <c r="G398" s="33"/>
      <c r="H398" s="32"/>
      <c r="I398" s="77"/>
      <c r="J398" s="33"/>
      <c r="K398" s="32"/>
      <c r="L398" s="77"/>
      <c r="M398" s="33"/>
      <c r="N398" s="32"/>
      <c r="O398" s="77"/>
      <c r="P398" s="33"/>
      <c r="Q398" s="32"/>
      <c r="R398" s="77"/>
      <c r="S398" s="30"/>
      <c r="T398" s="30"/>
      <c r="U398" s="30"/>
      <c r="V398" s="33"/>
      <c r="W398" s="32"/>
      <c r="X398" s="77"/>
    </row>
    <row x14ac:dyDescent="0.25" r="399" customHeight="1" ht="18">
      <c r="A399" s="33"/>
      <c r="B399" s="32"/>
      <c r="C399" s="77"/>
      <c r="D399" s="57"/>
      <c r="E399" s="57"/>
      <c r="F399" s="77"/>
      <c r="G399" s="33"/>
      <c r="H399" s="32"/>
      <c r="I399" s="77"/>
      <c r="J399" s="33"/>
      <c r="K399" s="32"/>
      <c r="L399" s="77"/>
      <c r="M399" s="33"/>
      <c r="N399" s="32"/>
      <c r="O399" s="77"/>
      <c r="P399" s="33"/>
      <c r="Q399" s="32"/>
      <c r="R399" s="77"/>
      <c r="S399" s="30"/>
      <c r="T399" s="30"/>
      <c r="U399" s="30"/>
      <c r="V399" s="33"/>
      <c r="W399" s="32"/>
      <c r="X399" s="77"/>
    </row>
    <row x14ac:dyDescent="0.25" r="400" customHeight="1" ht="18">
      <c r="A400" s="33"/>
      <c r="B400" s="32"/>
      <c r="C400" s="77"/>
      <c r="D400" s="57"/>
      <c r="E400" s="57"/>
      <c r="F400" s="77"/>
      <c r="G400" s="33"/>
      <c r="H400" s="32"/>
      <c r="I400" s="77"/>
      <c r="J400" s="33"/>
      <c r="K400" s="32"/>
      <c r="L400" s="77"/>
      <c r="M400" s="33"/>
      <c r="N400" s="32"/>
      <c r="O400" s="77"/>
      <c r="P400" s="33"/>
      <c r="Q400" s="32"/>
      <c r="R400" s="77"/>
      <c r="S400" s="30"/>
      <c r="T400" s="30"/>
      <c r="U400" s="30"/>
      <c r="V400" s="33"/>
      <c r="W400" s="32"/>
      <c r="X400" s="77"/>
    </row>
    <row x14ac:dyDescent="0.25" r="401" customHeight="1" ht="18">
      <c r="A401" s="33"/>
      <c r="B401" s="32"/>
      <c r="C401" s="77"/>
      <c r="D401" s="57"/>
      <c r="E401" s="57"/>
      <c r="F401" s="77"/>
      <c r="G401" s="33"/>
      <c r="H401" s="32"/>
      <c r="I401" s="77"/>
      <c r="J401" s="33"/>
      <c r="K401" s="32"/>
      <c r="L401" s="77"/>
      <c r="M401" s="33"/>
      <c r="N401" s="32"/>
      <c r="O401" s="77"/>
      <c r="P401" s="33"/>
      <c r="Q401" s="32"/>
      <c r="R401" s="77"/>
      <c r="S401" s="30"/>
      <c r="T401" s="30"/>
      <c r="U401" s="30"/>
      <c r="V401" s="33"/>
      <c r="W401" s="32"/>
      <c r="X401" s="77"/>
    </row>
    <row x14ac:dyDescent="0.25" r="402" customHeight="1" ht="18">
      <c r="A402" s="33"/>
      <c r="B402" s="32"/>
      <c r="C402" s="77"/>
      <c r="D402" s="57"/>
      <c r="E402" s="57"/>
      <c r="F402" s="77"/>
      <c r="G402" s="33"/>
      <c r="H402" s="32"/>
      <c r="I402" s="77"/>
      <c r="J402" s="33"/>
      <c r="K402" s="32"/>
      <c r="L402" s="77"/>
      <c r="M402" s="33"/>
      <c r="N402" s="32"/>
      <c r="O402" s="77"/>
      <c r="P402" s="33"/>
      <c r="Q402" s="32"/>
      <c r="R402" s="77"/>
      <c r="S402" s="30"/>
      <c r="T402" s="30"/>
      <c r="U402" s="30"/>
      <c r="V402" s="33"/>
      <c r="W402" s="32"/>
      <c r="X402" s="77"/>
    </row>
    <row x14ac:dyDescent="0.25" r="403" customHeight="1" ht="18">
      <c r="A403" s="33"/>
      <c r="B403" s="32"/>
      <c r="C403" s="77"/>
      <c r="D403" s="57"/>
      <c r="E403" s="57"/>
      <c r="F403" s="77"/>
      <c r="G403" s="33"/>
      <c r="H403" s="32"/>
      <c r="I403" s="77"/>
      <c r="J403" s="33"/>
      <c r="K403" s="32"/>
      <c r="L403" s="77"/>
      <c r="M403" s="33"/>
      <c r="N403" s="32"/>
      <c r="O403" s="77"/>
      <c r="P403" s="33"/>
      <c r="Q403" s="32"/>
      <c r="R403" s="77"/>
      <c r="S403" s="30"/>
      <c r="T403" s="30"/>
      <c r="U403" s="30"/>
      <c r="V403" s="33"/>
      <c r="W403" s="32"/>
      <c r="X403" s="77"/>
    </row>
    <row x14ac:dyDescent="0.25" r="404" customHeight="1" ht="18">
      <c r="A404" s="33"/>
      <c r="B404" s="32"/>
      <c r="C404" s="77"/>
      <c r="D404" s="57"/>
      <c r="E404" s="57"/>
      <c r="F404" s="77"/>
      <c r="G404" s="33"/>
      <c r="H404" s="32"/>
      <c r="I404" s="77"/>
      <c r="J404" s="33"/>
      <c r="K404" s="32"/>
      <c r="L404" s="77"/>
      <c r="M404" s="33"/>
      <c r="N404" s="32"/>
      <c r="O404" s="77"/>
      <c r="P404" s="33"/>
      <c r="Q404" s="32"/>
      <c r="R404" s="77"/>
      <c r="S404" s="30"/>
      <c r="T404" s="30"/>
      <c r="U404" s="30"/>
      <c r="V404" s="33"/>
      <c r="W404" s="32"/>
      <c r="X404" s="77"/>
    </row>
    <row x14ac:dyDescent="0.25" r="405" customHeight="1" ht="18">
      <c r="A405" s="33"/>
      <c r="B405" s="32"/>
      <c r="C405" s="77"/>
      <c r="D405" s="57"/>
      <c r="E405" s="57"/>
      <c r="F405" s="77"/>
      <c r="G405" s="33"/>
      <c r="H405" s="32"/>
      <c r="I405" s="77"/>
      <c r="J405" s="33"/>
      <c r="K405" s="32"/>
      <c r="L405" s="77"/>
      <c r="M405" s="33"/>
      <c r="N405" s="32"/>
      <c r="O405" s="77"/>
      <c r="P405" s="33"/>
      <c r="Q405" s="32"/>
      <c r="R405" s="77"/>
      <c r="S405" s="30"/>
      <c r="T405" s="30"/>
      <c r="U405" s="30"/>
      <c r="V405" s="33"/>
      <c r="W405" s="32"/>
      <c r="X405" s="77"/>
    </row>
    <row x14ac:dyDescent="0.25" r="406" customHeight="1" ht="18">
      <c r="A406" s="33"/>
      <c r="B406" s="32"/>
      <c r="C406" s="77"/>
      <c r="D406" s="57"/>
      <c r="E406" s="57"/>
      <c r="F406" s="77"/>
      <c r="G406" s="33"/>
      <c r="H406" s="32"/>
      <c r="I406" s="77"/>
      <c r="J406" s="33"/>
      <c r="K406" s="32"/>
      <c r="L406" s="77"/>
      <c r="M406" s="33"/>
      <c r="N406" s="32"/>
      <c r="O406" s="77"/>
      <c r="P406" s="33"/>
      <c r="Q406" s="32"/>
      <c r="R406" s="77"/>
      <c r="S406" s="30"/>
      <c r="T406" s="30"/>
      <c r="U406" s="30"/>
      <c r="V406" s="33"/>
      <c r="W406" s="32"/>
      <c r="X406" s="77"/>
    </row>
    <row x14ac:dyDescent="0.25" r="407" customHeight="1" ht="18">
      <c r="A407" s="33"/>
      <c r="B407" s="32"/>
      <c r="C407" s="77"/>
      <c r="D407" s="57"/>
      <c r="E407" s="57"/>
      <c r="F407" s="77"/>
      <c r="G407" s="33"/>
      <c r="H407" s="32"/>
      <c r="I407" s="77"/>
      <c r="J407" s="33"/>
      <c r="K407" s="32"/>
      <c r="L407" s="77"/>
      <c r="M407" s="33"/>
      <c r="N407" s="32"/>
      <c r="O407" s="77"/>
      <c r="P407" s="33"/>
      <c r="Q407" s="32"/>
      <c r="R407" s="77"/>
      <c r="S407" s="30"/>
      <c r="T407" s="30"/>
      <c r="U407" s="30"/>
      <c r="V407" s="33"/>
      <c r="W407" s="32"/>
      <c r="X407" s="77"/>
    </row>
    <row x14ac:dyDescent="0.25" r="408" customHeight="1" ht="18">
      <c r="A408" s="33"/>
      <c r="B408" s="32"/>
      <c r="C408" s="77"/>
      <c r="D408" s="57"/>
      <c r="E408" s="57"/>
      <c r="F408" s="77"/>
      <c r="G408" s="33"/>
      <c r="H408" s="32"/>
      <c r="I408" s="77"/>
      <c r="J408" s="33"/>
      <c r="K408" s="32"/>
      <c r="L408" s="77"/>
      <c r="M408" s="33"/>
      <c r="N408" s="32"/>
      <c r="O408" s="77"/>
      <c r="P408" s="33"/>
      <c r="Q408" s="32"/>
      <c r="R408" s="77"/>
      <c r="S408" s="30"/>
      <c r="T408" s="30"/>
      <c r="U408" s="30"/>
      <c r="V408" s="33"/>
      <c r="W408" s="32"/>
      <c r="X408" s="77"/>
    </row>
    <row x14ac:dyDescent="0.25" r="409" customHeight="1" ht="18">
      <c r="A409" s="33"/>
      <c r="B409" s="32"/>
      <c r="C409" s="77"/>
      <c r="D409" s="57"/>
      <c r="E409" s="57"/>
      <c r="F409" s="77"/>
      <c r="G409" s="33"/>
      <c r="H409" s="32"/>
      <c r="I409" s="77"/>
      <c r="J409" s="33"/>
      <c r="K409" s="32"/>
      <c r="L409" s="77"/>
      <c r="M409" s="33"/>
      <c r="N409" s="32"/>
      <c r="O409" s="77"/>
      <c r="P409" s="33"/>
      <c r="Q409" s="32"/>
      <c r="R409" s="77"/>
      <c r="S409" s="30"/>
      <c r="T409" s="30"/>
      <c r="U409" s="30"/>
      <c r="V409" s="33"/>
      <c r="W409" s="32"/>
      <c r="X409" s="77"/>
    </row>
    <row x14ac:dyDescent="0.25" r="410" customHeight="1" ht="18">
      <c r="A410" s="33"/>
      <c r="B410" s="32"/>
      <c r="C410" s="77"/>
      <c r="D410" s="57"/>
      <c r="E410" s="57"/>
      <c r="F410" s="77"/>
      <c r="G410" s="33"/>
      <c r="H410" s="32"/>
      <c r="I410" s="77"/>
      <c r="J410" s="33"/>
      <c r="K410" s="32"/>
      <c r="L410" s="77"/>
      <c r="M410" s="33"/>
      <c r="N410" s="32"/>
      <c r="O410" s="77"/>
      <c r="P410" s="33"/>
      <c r="Q410" s="32"/>
      <c r="R410" s="77"/>
      <c r="S410" s="30"/>
      <c r="T410" s="30"/>
      <c r="U410" s="30"/>
      <c r="V410" s="33"/>
      <c r="W410" s="32"/>
      <c r="X410" s="77"/>
    </row>
    <row x14ac:dyDescent="0.25" r="411" customHeight="1" ht="18">
      <c r="A411" s="33"/>
      <c r="B411" s="32"/>
      <c r="C411" s="77"/>
      <c r="D411" s="57"/>
      <c r="E411" s="57"/>
      <c r="F411" s="77"/>
      <c r="G411" s="33"/>
      <c r="H411" s="32"/>
      <c r="I411" s="77"/>
      <c r="J411" s="33"/>
      <c r="K411" s="32"/>
      <c r="L411" s="77"/>
      <c r="M411" s="33"/>
      <c r="N411" s="32"/>
      <c r="O411" s="77"/>
      <c r="P411" s="33"/>
      <c r="Q411" s="32"/>
      <c r="R411" s="77"/>
      <c r="S411" s="30"/>
      <c r="T411" s="30"/>
      <c r="U411" s="30"/>
      <c r="V411" s="33"/>
      <c r="W411" s="32"/>
      <c r="X411" s="77"/>
    </row>
    <row x14ac:dyDescent="0.25" r="412" customHeight="1" ht="18">
      <c r="A412" s="33"/>
      <c r="B412" s="32"/>
      <c r="C412" s="77"/>
      <c r="D412" s="57"/>
      <c r="E412" s="57"/>
      <c r="F412" s="77"/>
      <c r="G412" s="33"/>
      <c r="H412" s="32"/>
      <c r="I412" s="77"/>
      <c r="J412" s="33"/>
      <c r="K412" s="32"/>
      <c r="L412" s="77"/>
      <c r="M412" s="33"/>
      <c r="N412" s="32"/>
      <c r="O412" s="77"/>
      <c r="P412" s="33"/>
      <c r="Q412" s="32"/>
      <c r="R412" s="77"/>
      <c r="S412" s="30"/>
      <c r="T412" s="30"/>
      <c r="U412" s="30"/>
      <c r="V412" s="33"/>
      <c r="W412" s="32"/>
      <c r="X412" s="77"/>
    </row>
    <row x14ac:dyDescent="0.25" r="413" customHeight="1" ht="18">
      <c r="A413" s="33"/>
      <c r="B413" s="32"/>
      <c r="C413" s="77"/>
      <c r="D413" s="57"/>
      <c r="E413" s="57"/>
      <c r="F413" s="77"/>
      <c r="G413" s="33"/>
      <c r="H413" s="32"/>
      <c r="I413" s="77"/>
      <c r="J413" s="33"/>
      <c r="K413" s="32"/>
      <c r="L413" s="77"/>
      <c r="M413" s="33"/>
      <c r="N413" s="32"/>
      <c r="O413" s="77"/>
      <c r="P413" s="33"/>
      <c r="Q413" s="32"/>
      <c r="R413" s="77"/>
      <c r="S413" s="30"/>
      <c r="T413" s="30"/>
      <c r="U413" s="30"/>
      <c r="V413" s="33"/>
      <c r="W413" s="32"/>
      <c r="X413" s="77"/>
    </row>
    <row x14ac:dyDescent="0.25" r="414" customHeight="1" ht="18">
      <c r="A414" s="33"/>
      <c r="B414" s="32"/>
      <c r="C414" s="77"/>
      <c r="D414" s="57"/>
      <c r="E414" s="57"/>
      <c r="F414" s="77"/>
      <c r="G414" s="33"/>
      <c r="H414" s="32"/>
      <c r="I414" s="77"/>
      <c r="J414" s="33"/>
      <c r="K414" s="32"/>
      <c r="L414" s="77"/>
      <c r="M414" s="33"/>
      <c r="N414" s="32"/>
      <c r="O414" s="77"/>
      <c r="P414" s="33"/>
      <c r="Q414" s="32"/>
      <c r="R414" s="77"/>
      <c r="S414" s="30"/>
      <c r="T414" s="30"/>
      <c r="U414" s="30"/>
      <c r="V414" s="33"/>
      <c r="W414" s="32"/>
      <c r="X414" s="77"/>
    </row>
    <row x14ac:dyDescent="0.25" r="415" customHeight="1" ht="18">
      <c r="A415" s="33"/>
      <c r="B415" s="32"/>
      <c r="C415" s="77"/>
      <c r="D415" s="57"/>
      <c r="E415" s="57"/>
      <c r="F415" s="77"/>
      <c r="G415" s="33"/>
      <c r="H415" s="32"/>
      <c r="I415" s="77"/>
      <c r="J415" s="33"/>
      <c r="K415" s="32"/>
      <c r="L415" s="77"/>
      <c r="M415" s="33"/>
      <c r="N415" s="32"/>
      <c r="O415" s="77"/>
      <c r="P415" s="33"/>
      <c r="Q415" s="32"/>
      <c r="R415" s="77"/>
      <c r="S415" s="30"/>
      <c r="T415" s="30"/>
      <c r="U415" s="30"/>
      <c r="V415" s="33"/>
      <c r="W415" s="32"/>
      <c r="X415" s="77"/>
    </row>
    <row x14ac:dyDescent="0.25" r="416" customHeight="1" ht="18">
      <c r="A416" s="33"/>
      <c r="B416" s="32"/>
      <c r="C416" s="77"/>
      <c r="D416" s="57"/>
      <c r="E416" s="57"/>
      <c r="F416" s="77"/>
      <c r="G416" s="33"/>
      <c r="H416" s="32"/>
      <c r="I416" s="77"/>
      <c r="J416" s="33"/>
      <c r="K416" s="32"/>
      <c r="L416" s="77"/>
      <c r="M416" s="33"/>
      <c r="N416" s="32"/>
      <c r="O416" s="77"/>
      <c r="P416" s="33"/>
      <c r="Q416" s="32"/>
      <c r="R416" s="77"/>
      <c r="S416" s="30"/>
      <c r="T416" s="30"/>
      <c r="U416" s="30"/>
      <c r="V416" s="33"/>
      <c r="W416" s="32"/>
      <c r="X416" s="77"/>
    </row>
    <row x14ac:dyDescent="0.25" r="417" customHeight="1" ht="18">
      <c r="A417" s="33"/>
      <c r="B417" s="32"/>
      <c r="C417" s="77"/>
      <c r="D417" s="57"/>
      <c r="E417" s="57"/>
      <c r="F417" s="77"/>
      <c r="G417" s="33"/>
      <c r="H417" s="32"/>
      <c r="I417" s="77"/>
      <c r="J417" s="33"/>
      <c r="K417" s="32"/>
      <c r="L417" s="77"/>
      <c r="M417" s="33"/>
      <c r="N417" s="32"/>
      <c r="O417" s="77"/>
      <c r="P417" s="33"/>
      <c r="Q417" s="32"/>
      <c r="R417" s="77"/>
      <c r="S417" s="30"/>
      <c r="T417" s="30"/>
      <c r="U417" s="30"/>
      <c r="V417" s="33"/>
      <c r="W417" s="32"/>
      <c r="X417" s="77"/>
    </row>
    <row x14ac:dyDescent="0.25" r="418" customHeight="1" ht="18">
      <c r="A418" s="33"/>
      <c r="B418" s="32"/>
      <c r="C418" s="77"/>
      <c r="D418" s="57"/>
      <c r="E418" s="57"/>
      <c r="F418" s="77"/>
      <c r="G418" s="33"/>
      <c r="H418" s="32"/>
      <c r="I418" s="77"/>
      <c r="J418" s="33"/>
      <c r="K418" s="32"/>
      <c r="L418" s="77"/>
      <c r="M418" s="33"/>
      <c r="N418" s="32"/>
      <c r="O418" s="77"/>
      <c r="P418" s="33"/>
      <c r="Q418" s="32"/>
      <c r="R418" s="77"/>
      <c r="S418" s="30"/>
      <c r="T418" s="30"/>
      <c r="U418" s="30"/>
      <c r="V418" s="33"/>
      <c r="W418" s="32"/>
      <c r="X418" s="77"/>
    </row>
    <row x14ac:dyDescent="0.25" r="419" customHeight="1" ht="18">
      <c r="A419" s="33"/>
      <c r="B419" s="32"/>
      <c r="C419" s="77"/>
      <c r="D419" s="57"/>
      <c r="E419" s="57"/>
      <c r="F419" s="77"/>
      <c r="G419" s="33"/>
      <c r="H419" s="32"/>
      <c r="I419" s="77"/>
      <c r="J419" s="33"/>
      <c r="K419" s="32"/>
      <c r="L419" s="77"/>
      <c r="M419" s="33"/>
      <c r="N419" s="32"/>
      <c r="O419" s="77"/>
      <c r="P419" s="33"/>
      <c r="Q419" s="32"/>
      <c r="R419" s="77"/>
      <c r="S419" s="30"/>
      <c r="T419" s="30"/>
      <c r="U419" s="30"/>
      <c r="V419" s="33"/>
      <c r="W419" s="32"/>
      <c r="X419" s="77"/>
    </row>
    <row x14ac:dyDescent="0.25" r="420" customHeight="1" ht="18">
      <c r="A420" s="33"/>
      <c r="B420" s="32"/>
      <c r="C420" s="77"/>
      <c r="D420" s="57"/>
      <c r="E420" s="57"/>
      <c r="F420" s="77"/>
      <c r="G420" s="33"/>
      <c r="H420" s="32"/>
      <c r="I420" s="77"/>
      <c r="J420" s="33"/>
      <c r="K420" s="32"/>
      <c r="L420" s="77"/>
      <c r="M420" s="33"/>
      <c r="N420" s="32"/>
      <c r="O420" s="77"/>
      <c r="P420" s="33"/>
      <c r="Q420" s="32"/>
      <c r="R420" s="77"/>
      <c r="S420" s="30"/>
      <c r="T420" s="30"/>
      <c r="U420" s="30"/>
      <c r="V420" s="33"/>
      <c r="W420" s="32"/>
      <c r="X420" s="77"/>
    </row>
    <row x14ac:dyDescent="0.25" r="421" customHeight="1" ht="18">
      <c r="A421" s="33"/>
      <c r="B421" s="32"/>
      <c r="C421" s="77"/>
      <c r="D421" s="57"/>
      <c r="E421" s="57"/>
      <c r="F421" s="77"/>
      <c r="G421" s="33"/>
      <c r="H421" s="32"/>
      <c r="I421" s="77"/>
      <c r="J421" s="33"/>
      <c r="K421" s="32"/>
      <c r="L421" s="77"/>
      <c r="M421" s="33"/>
      <c r="N421" s="32"/>
      <c r="O421" s="77"/>
      <c r="P421" s="33"/>
      <c r="Q421" s="32"/>
      <c r="R421" s="77"/>
      <c r="S421" s="30"/>
      <c r="T421" s="30"/>
      <c r="U421" s="30"/>
      <c r="V421" s="33"/>
      <c r="W421" s="32"/>
      <c r="X421" s="77"/>
    </row>
    <row x14ac:dyDescent="0.25" r="422" customHeight="1" ht="18">
      <c r="A422" s="33"/>
      <c r="B422" s="32"/>
      <c r="C422" s="77"/>
      <c r="D422" s="57"/>
      <c r="E422" s="57"/>
      <c r="F422" s="77"/>
      <c r="G422" s="33"/>
      <c r="H422" s="32"/>
      <c r="I422" s="77"/>
      <c r="J422" s="33"/>
      <c r="K422" s="32"/>
      <c r="L422" s="77"/>
      <c r="M422" s="33"/>
      <c r="N422" s="32"/>
      <c r="O422" s="77"/>
      <c r="P422" s="33"/>
      <c r="Q422" s="32"/>
      <c r="R422" s="77"/>
      <c r="S422" s="30"/>
      <c r="T422" s="30"/>
      <c r="U422" s="30"/>
      <c r="V422" s="33"/>
      <c r="W422" s="32"/>
      <c r="X422" s="77"/>
    </row>
    <row x14ac:dyDescent="0.25" r="423" customHeight="1" ht="18">
      <c r="A423" s="33"/>
      <c r="B423" s="32"/>
      <c r="C423" s="77"/>
      <c r="D423" s="57"/>
      <c r="E423" s="57"/>
      <c r="F423" s="77"/>
      <c r="G423" s="33"/>
      <c r="H423" s="32"/>
      <c r="I423" s="77"/>
      <c r="J423" s="33"/>
      <c r="K423" s="32"/>
      <c r="L423" s="77"/>
      <c r="M423" s="33"/>
      <c r="N423" s="32"/>
      <c r="O423" s="77"/>
      <c r="P423" s="33"/>
      <c r="Q423" s="32"/>
      <c r="R423" s="77"/>
      <c r="S423" s="30"/>
      <c r="T423" s="30"/>
      <c r="U423" s="30"/>
      <c r="V423" s="33"/>
      <c r="W423" s="32"/>
      <c r="X423" s="77"/>
    </row>
  </sheetData>
  <mergeCells count="37">
    <mergeCell ref="A1:R1"/>
    <mergeCell ref="A2:R2"/>
    <mergeCell ref="A3:I3"/>
    <mergeCell ref="J3:R3"/>
    <mergeCell ref="V3:X3"/>
    <mergeCell ref="A4:C4"/>
    <mergeCell ref="D4:F4"/>
    <mergeCell ref="G4:I4"/>
    <mergeCell ref="J4:L4"/>
    <mergeCell ref="M4:O4"/>
    <mergeCell ref="P4:R4"/>
    <mergeCell ref="A43:R43"/>
    <mergeCell ref="A44:I44"/>
    <mergeCell ref="J44:R44"/>
    <mergeCell ref="A45:C45"/>
    <mergeCell ref="D45:F45"/>
    <mergeCell ref="G45:I45"/>
    <mergeCell ref="J45:L45"/>
    <mergeCell ref="M45:O45"/>
    <mergeCell ref="P45:R45"/>
    <mergeCell ref="A47:C82"/>
    <mergeCell ref="G47:I82"/>
    <mergeCell ref="J47:L82"/>
    <mergeCell ref="P47:R82"/>
    <mergeCell ref="A84:R84"/>
    <mergeCell ref="A85:I85"/>
    <mergeCell ref="J85:R85"/>
    <mergeCell ref="A86:C86"/>
    <mergeCell ref="D86:F86"/>
    <mergeCell ref="G86:I86"/>
    <mergeCell ref="J86:L86"/>
    <mergeCell ref="M86:O86"/>
    <mergeCell ref="P86:R86"/>
    <mergeCell ref="A88:C123"/>
    <mergeCell ref="G88:I123"/>
    <mergeCell ref="J88:L123"/>
    <mergeCell ref="P88:R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461"/>
  <sheetViews>
    <sheetView workbookViewId="0"/>
  </sheetViews>
  <sheetFormatPr defaultRowHeight="15" x14ac:dyDescent="0.25"/>
  <cols>
    <col min="1" max="1" style="71" width="12.43357142857143" customWidth="1" bestFit="1"/>
    <col min="2" max="2" style="72" width="13.862142857142858" customWidth="1" bestFit="1"/>
    <col min="3" max="3" style="72" width="13.862142857142858" customWidth="1" bestFit="1"/>
    <col min="4" max="4" style="72" width="13.862142857142858" customWidth="1" bestFit="1"/>
    <col min="5" max="5" style="72" width="12.43357142857143" customWidth="1" bestFit="1"/>
    <col min="6" max="6" style="72" width="11.719285714285713" customWidth="1" bestFit="1"/>
    <col min="7" max="7" style="72" width="12.43357142857143" customWidth="1" bestFit="1"/>
    <col min="8" max="8" style="73" width="12.43357142857143" customWidth="1" bestFit="1"/>
    <col min="9" max="9" style="71" width="12.43357142857143" customWidth="1" bestFit="1"/>
    <col min="10" max="10" style="73" width="12.43357142857143" customWidth="1" bestFit="1"/>
    <col min="11" max="11" style="71" width="12.43357142857143" customWidth="1" bestFit="1"/>
    <col min="12" max="12" style="73" width="12.43357142857143" customWidth="1" bestFit="1"/>
    <col min="13" max="13" style="74" width="12.43357142857143" customWidth="1" bestFit="1"/>
    <col min="14" max="14" style="74" width="12.43357142857143" customWidth="1" bestFit="1"/>
    <col min="15" max="15" style="72" width="12.43357142857143" customWidth="1" bestFit="1"/>
    <col min="16" max="16" style="73" width="12.43357142857143" customWidth="1" bestFit="1"/>
    <col min="17" max="17" style="74" width="12.43357142857143" customWidth="1" bestFit="1"/>
    <col min="18" max="18" style="72" width="12.43357142857143" customWidth="1" bestFit="1"/>
    <col min="19" max="19" style="74" width="12.43357142857143" customWidth="1" bestFit="1"/>
    <col min="20" max="20" style="74" width="12.43357142857143" customWidth="1" bestFit="1"/>
    <col min="21" max="21" style="71" width="12.43357142857143" customWidth="1" bestFit="1"/>
    <col min="22" max="22" style="73" width="12.43357142857143" customWidth="1" bestFit="1"/>
    <col min="23" max="23" style="74" width="12.43357142857143" customWidth="1" bestFit="1"/>
    <col min="24" max="24" style="74" width="12.43357142857143" customWidth="1" bestFit="1"/>
    <col min="25" max="25" style="74" width="12.43357142857143" customWidth="1" bestFit="1"/>
    <col min="26" max="26" style="74" width="12.43357142857143" customWidth="1" bestFit="1"/>
    <col min="27" max="27" style="72" width="12.43357142857143" customWidth="1" bestFit="1"/>
    <col min="28" max="28" style="73" width="12.43357142857143" customWidth="1" bestFit="1"/>
    <col min="29" max="29" style="74" width="12.43357142857143" customWidth="1" bestFit="1"/>
    <col min="30" max="30" style="72" width="12.43357142857143" customWidth="1" bestFit="1"/>
    <col min="31" max="31" style="74" width="12.43357142857143" customWidth="1" bestFit="1"/>
    <col min="32" max="32" style="74" width="12.43357142857143" customWidth="1" bestFit="1"/>
    <col min="33" max="33" style="71" width="12.43357142857143" customWidth="1" bestFit="1"/>
    <col min="34" max="34" style="73" width="12.43357142857143" customWidth="1" bestFit="1"/>
    <col min="35" max="35" style="74" width="12.43357142857143" customWidth="1" bestFit="1"/>
    <col min="36" max="36" style="74" width="12.43357142857143" customWidth="1" bestFit="1"/>
  </cols>
  <sheetData>
    <row x14ac:dyDescent="0.25" r="1" customHeight="1" ht="17.25">
      <c r="A1" s="25" t="s">
        <v>10</v>
      </c>
      <c r="B1" s="26"/>
      <c r="C1" s="26"/>
      <c r="D1" s="26"/>
      <c r="E1" s="26"/>
      <c r="F1" s="26"/>
      <c r="G1" s="26"/>
      <c r="H1" s="27"/>
      <c r="I1" s="28"/>
      <c r="J1" s="27"/>
      <c r="K1" s="28"/>
      <c r="L1" s="29"/>
      <c r="M1" s="30"/>
      <c r="N1" s="30"/>
      <c r="O1" s="31"/>
      <c r="P1" s="32"/>
      <c r="Q1" s="30"/>
      <c r="R1" s="31"/>
      <c r="S1" s="30"/>
      <c r="T1" s="30"/>
      <c r="U1" s="33"/>
      <c r="V1" s="32"/>
      <c r="W1" s="30"/>
      <c r="X1" s="30"/>
      <c r="Y1" s="30"/>
      <c r="Z1" s="30"/>
      <c r="AA1" s="31"/>
      <c r="AB1" s="32"/>
      <c r="AC1" s="30"/>
      <c r="AD1" s="31"/>
      <c r="AE1" s="30"/>
      <c r="AF1" s="30"/>
      <c r="AG1" s="33"/>
      <c r="AH1" s="32"/>
      <c r="AI1" s="30"/>
      <c r="AJ1" s="30"/>
    </row>
    <row x14ac:dyDescent="0.25" r="2" customHeight="1" ht="17.25">
      <c r="A2" s="1" t="s">
        <v>11</v>
      </c>
      <c r="B2" s="34"/>
      <c r="C2" s="34"/>
      <c r="D2" s="34"/>
      <c r="E2" s="34"/>
      <c r="F2" s="34"/>
      <c r="G2" s="34"/>
      <c r="H2" s="35"/>
      <c r="I2" s="36"/>
      <c r="J2" s="35"/>
      <c r="K2" s="36"/>
      <c r="L2" s="37"/>
      <c r="M2" s="38" t="s">
        <v>12</v>
      </c>
      <c r="N2" s="39"/>
      <c r="O2" s="34"/>
      <c r="P2" s="35"/>
      <c r="Q2" s="39"/>
      <c r="R2" s="34"/>
      <c r="S2" s="39"/>
      <c r="T2" s="39"/>
      <c r="U2" s="36"/>
      <c r="V2" s="35"/>
      <c r="W2" s="39"/>
      <c r="X2" s="40"/>
      <c r="Y2" s="38" t="s">
        <v>13</v>
      </c>
      <c r="Z2" s="39"/>
      <c r="AA2" s="34"/>
      <c r="AB2" s="35"/>
      <c r="AC2" s="39"/>
      <c r="AD2" s="34"/>
      <c r="AE2" s="39"/>
      <c r="AF2" s="39"/>
      <c r="AG2" s="36"/>
      <c r="AH2" s="35"/>
      <c r="AI2" s="39"/>
      <c r="AJ2" s="40"/>
    </row>
    <row x14ac:dyDescent="0.25" r="3" customHeight="1" ht="17.25">
      <c r="A3" s="1" t="s">
        <v>14</v>
      </c>
      <c r="B3" s="34"/>
      <c r="C3" s="34"/>
      <c r="D3" s="34"/>
      <c r="E3" s="34"/>
      <c r="F3" s="34"/>
      <c r="G3" s="41" t="s">
        <v>15</v>
      </c>
      <c r="H3" s="35"/>
      <c r="I3" s="36"/>
      <c r="J3" s="35"/>
      <c r="K3" s="36"/>
      <c r="L3" s="37"/>
      <c r="M3" s="38" t="s">
        <v>14</v>
      </c>
      <c r="N3" s="39"/>
      <c r="O3" s="34"/>
      <c r="P3" s="35"/>
      <c r="Q3" s="39"/>
      <c r="R3" s="34"/>
      <c r="S3" s="38" t="s">
        <v>15</v>
      </c>
      <c r="T3" s="39"/>
      <c r="U3" s="36"/>
      <c r="V3" s="35"/>
      <c r="W3" s="39"/>
      <c r="X3" s="40"/>
      <c r="Y3" s="38" t="s">
        <v>14</v>
      </c>
      <c r="Z3" s="39"/>
      <c r="AA3" s="34"/>
      <c r="AB3" s="35"/>
      <c r="AC3" s="39"/>
      <c r="AD3" s="34"/>
      <c r="AE3" s="38" t="s">
        <v>15</v>
      </c>
      <c r="AF3" s="39"/>
      <c r="AG3" s="36"/>
      <c r="AH3" s="35"/>
      <c r="AI3" s="39"/>
      <c r="AJ3" s="40"/>
    </row>
    <row x14ac:dyDescent="0.25" r="4" customHeight="1" ht="17.25">
      <c r="A4" s="1" t="s">
        <v>16</v>
      </c>
      <c r="B4" s="42"/>
      <c r="C4" s="41" t="s">
        <v>17</v>
      </c>
      <c r="D4" s="42"/>
      <c r="E4" s="41" t="s">
        <v>18</v>
      </c>
      <c r="F4" s="42"/>
      <c r="G4" s="41" t="s">
        <v>19</v>
      </c>
      <c r="H4" s="37"/>
      <c r="I4" s="1" t="s">
        <v>20</v>
      </c>
      <c r="J4" s="37"/>
      <c r="K4" s="1" t="s">
        <v>21</v>
      </c>
      <c r="L4" s="37"/>
      <c r="M4" s="38" t="s">
        <v>22</v>
      </c>
      <c r="N4" s="40"/>
      <c r="O4" s="41" t="s">
        <v>23</v>
      </c>
      <c r="P4" s="37"/>
      <c r="Q4" s="38" t="s">
        <v>24</v>
      </c>
      <c r="R4" s="42"/>
      <c r="S4" s="38" t="s">
        <v>25</v>
      </c>
      <c r="T4" s="40"/>
      <c r="U4" s="1" t="s">
        <v>26</v>
      </c>
      <c r="V4" s="37"/>
      <c r="W4" s="38" t="s">
        <v>27</v>
      </c>
      <c r="X4" s="40"/>
      <c r="Y4" s="38" t="s">
        <v>28</v>
      </c>
      <c r="Z4" s="40"/>
      <c r="AA4" s="41" t="s">
        <v>29</v>
      </c>
      <c r="AB4" s="37"/>
      <c r="AC4" s="38" t="s">
        <v>30</v>
      </c>
      <c r="AD4" s="42"/>
      <c r="AE4" s="38" t="s">
        <v>31</v>
      </c>
      <c r="AF4" s="40"/>
      <c r="AG4" s="1" t="s">
        <v>32</v>
      </c>
      <c r="AH4" s="37"/>
      <c r="AI4" s="38" t="s">
        <v>33</v>
      </c>
      <c r="AJ4" s="40"/>
    </row>
    <row x14ac:dyDescent="0.25" r="5" customHeight="1" ht="17.25">
      <c r="A5" s="4" t="s">
        <v>5</v>
      </c>
      <c r="B5" s="43" t="s">
        <v>34</v>
      </c>
      <c r="C5" s="41" t="s">
        <v>5</v>
      </c>
      <c r="D5" s="42" t="s">
        <v>34</v>
      </c>
      <c r="E5" s="41" t="s">
        <v>5</v>
      </c>
      <c r="F5" s="42" t="s">
        <v>34</v>
      </c>
      <c r="G5" s="41" t="s">
        <v>5</v>
      </c>
      <c r="H5" s="37" t="s">
        <v>34</v>
      </c>
      <c r="I5" s="1" t="s">
        <v>5</v>
      </c>
      <c r="J5" s="37" t="s">
        <v>34</v>
      </c>
      <c r="K5" s="1" t="s">
        <v>5</v>
      </c>
      <c r="L5" s="37" t="s">
        <v>34</v>
      </c>
      <c r="M5" s="44" t="s">
        <v>5</v>
      </c>
      <c r="N5" s="45" t="s">
        <v>34</v>
      </c>
      <c r="O5" s="41" t="s">
        <v>5</v>
      </c>
      <c r="P5" s="37" t="s">
        <v>34</v>
      </c>
      <c r="Q5" s="38" t="s">
        <v>5</v>
      </c>
      <c r="R5" s="42" t="s">
        <v>34</v>
      </c>
      <c r="S5" s="38" t="s">
        <v>5</v>
      </c>
      <c r="T5" s="40" t="s">
        <v>34</v>
      </c>
      <c r="U5" s="1" t="s">
        <v>5</v>
      </c>
      <c r="V5" s="37" t="s">
        <v>34</v>
      </c>
      <c r="W5" s="38" t="s">
        <v>5</v>
      </c>
      <c r="X5" s="40" t="s">
        <v>34</v>
      </c>
      <c r="Y5" s="44" t="s">
        <v>5</v>
      </c>
      <c r="Z5" s="45" t="s">
        <v>34</v>
      </c>
      <c r="AA5" s="41" t="s">
        <v>5</v>
      </c>
      <c r="AB5" s="37" t="s">
        <v>34</v>
      </c>
      <c r="AC5" s="38" t="s">
        <v>5</v>
      </c>
      <c r="AD5" s="42" t="s">
        <v>34</v>
      </c>
      <c r="AE5" s="38" t="s">
        <v>5</v>
      </c>
      <c r="AF5" s="40" t="s">
        <v>34</v>
      </c>
      <c r="AG5" s="1" t="s">
        <v>5</v>
      </c>
      <c r="AH5" s="37" t="s">
        <v>34</v>
      </c>
      <c r="AI5" s="38" t="s">
        <v>5</v>
      </c>
      <c r="AJ5" s="40" t="s">
        <v>34</v>
      </c>
    </row>
    <row x14ac:dyDescent="0.25" r="6" customHeight="1" ht="17.25">
      <c r="A6" s="8">
        <v>19335.7</v>
      </c>
      <c r="B6" s="46">
        <v>1.968785</v>
      </c>
      <c r="C6" s="47">
        <v>19330.8</v>
      </c>
      <c r="D6" s="46">
        <v>1.94568</v>
      </c>
      <c r="E6" s="47">
        <v>19328</v>
      </c>
      <c r="F6" s="46">
        <v>1.9558575</v>
      </c>
      <c r="G6" s="47">
        <v>19331.7</v>
      </c>
      <c r="H6" s="46">
        <v>1.9577624999999999</v>
      </c>
      <c r="I6" s="47">
        <v>19331.5</v>
      </c>
      <c r="J6" s="46">
        <v>1.9598</v>
      </c>
      <c r="K6" s="47">
        <v>19334.8</v>
      </c>
      <c r="L6" s="46">
        <v>1.9541425000000001</v>
      </c>
      <c r="M6" s="48" t="s">
        <v>35</v>
      </c>
      <c r="N6" s="49"/>
      <c r="O6" s="47">
        <v>19331.4</v>
      </c>
      <c r="P6" s="46">
        <v>1.95817</v>
      </c>
      <c r="Q6" s="48" t="s">
        <v>35</v>
      </c>
      <c r="R6" s="49"/>
      <c r="S6" s="48" t="s">
        <v>35</v>
      </c>
      <c r="T6" s="49"/>
      <c r="U6" s="47">
        <v>19332.3</v>
      </c>
      <c r="V6" s="46">
        <v>1.958155</v>
      </c>
      <c r="W6" s="48" t="s">
        <v>35</v>
      </c>
      <c r="X6" s="49"/>
      <c r="Y6" s="48" t="s">
        <v>35</v>
      </c>
      <c r="Z6" s="49"/>
      <c r="AA6" s="47">
        <v>19335.3</v>
      </c>
      <c r="AB6" s="46">
        <v>1.9527075</v>
      </c>
      <c r="AC6" s="48" t="s">
        <v>35</v>
      </c>
      <c r="AD6" s="49"/>
      <c r="AE6" s="48" t="s">
        <v>35</v>
      </c>
      <c r="AF6" s="49"/>
      <c r="AG6" s="47">
        <v>19347.9</v>
      </c>
      <c r="AH6" s="46">
        <v>1.95755</v>
      </c>
      <c r="AI6" s="48" t="s">
        <v>35</v>
      </c>
      <c r="AJ6" s="49"/>
    </row>
    <row x14ac:dyDescent="0.25" r="7" customHeight="1" ht="17.25">
      <c r="A7" s="11">
        <v>16217.6</v>
      </c>
      <c r="B7" s="50">
        <v>1.928735</v>
      </c>
      <c r="C7" s="51">
        <v>16213</v>
      </c>
      <c r="D7" s="50">
        <v>1.90613</v>
      </c>
      <c r="E7" s="51">
        <v>16210.8</v>
      </c>
      <c r="F7" s="50">
        <v>1.9159275</v>
      </c>
      <c r="G7" s="51">
        <v>16214.2</v>
      </c>
      <c r="H7" s="50">
        <v>1.9181525000000001</v>
      </c>
      <c r="I7" s="51">
        <v>16214</v>
      </c>
      <c r="J7" s="50">
        <v>1.9198899999999999</v>
      </c>
      <c r="K7" s="51">
        <v>16216.4</v>
      </c>
      <c r="L7" s="50">
        <v>1.9145125</v>
      </c>
      <c r="M7" s="6"/>
      <c r="N7" s="52"/>
      <c r="O7" s="51">
        <v>16213.7</v>
      </c>
      <c r="P7" s="50">
        <v>1.9180000000000001</v>
      </c>
      <c r="Q7" s="6"/>
      <c r="R7" s="52"/>
      <c r="S7" s="6"/>
      <c r="T7" s="52"/>
      <c r="U7" s="51">
        <v>16214.6</v>
      </c>
      <c r="V7" s="50">
        <v>1.9178950000000001</v>
      </c>
      <c r="W7" s="6"/>
      <c r="X7" s="52"/>
      <c r="Y7" s="6"/>
      <c r="Z7" s="52"/>
      <c r="AA7" s="51">
        <v>16216.8</v>
      </c>
      <c r="AB7" s="50">
        <v>1.9125375</v>
      </c>
      <c r="AC7" s="6"/>
      <c r="AD7" s="52"/>
      <c r="AE7" s="6"/>
      <c r="AF7" s="52"/>
      <c r="AG7" s="51">
        <v>16227.8</v>
      </c>
      <c r="AH7" s="50">
        <v>1.91719</v>
      </c>
      <c r="AI7" s="6"/>
      <c r="AJ7" s="52"/>
    </row>
    <row x14ac:dyDescent="0.25" r="8" customHeight="1" ht="17.25">
      <c r="A8" s="11">
        <v>14346.1</v>
      </c>
      <c r="B8" s="50">
        <v>1.9017350000000002</v>
      </c>
      <c r="C8" s="51">
        <v>14342.4</v>
      </c>
      <c r="D8" s="50">
        <v>1.8794</v>
      </c>
      <c r="E8" s="51">
        <v>14340.6</v>
      </c>
      <c r="F8" s="50">
        <v>1.8888275</v>
      </c>
      <c r="G8" s="51">
        <v>14343.3</v>
      </c>
      <c r="H8" s="50">
        <v>1.8912624999999998</v>
      </c>
      <c r="I8" s="51">
        <v>14343.4</v>
      </c>
      <c r="J8" s="50">
        <v>1.8928999999999998</v>
      </c>
      <c r="K8" s="51">
        <v>14345.4</v>
      </c>
      <c r="L8" s="50">
        <v>1.8876525</v>
      </c>
      <c r="M8" s="6"/>
      <c r="N8" s="52"/>
      <c r="O8" s="51">
        <v>14342.8</v>
      </c>
      <c r="P8" s="50">
        <v>1.89069</v>
      </c>
      <c r="Q8" s="6"/>
      <c r="R8" s="52"/>
      <c r="S8" s="6"/>
      <c r="T8" s="52"/>
      <c r="U8" s="51">
        <v>14343.8</v>
      </c>
      <c r="V8" s="50">
        <v>1.8906049999999999</v>
      </c>
      <c r="W8" s="6"/>
      <c r="X8" s="52"/>
      <c r="Y8" s="6"/>
      <c r="Z8" s="52"/>
      <c r="AA8" s="51">
        <v>14345.6</v>
      </c>
      <c r="AB8" s="50">
        <v>1.8852775</v>
      </c>
      <c r="AC8" s="6"/>
      <c r="AD8" s="52"/>
      <c r="AE8" s="6"/>
      <c r="AF8" s="52"/>
      <c r="AG8" s="51">
        <v>14354.9</v>
      </c>
      <c r="AH8" s="50">
        <v>1.88999</v>
      </c>
      <c r="AI8" s="6"/>
      <c r="AJ8" s="52"/>
    </row>
    <row x14ac:dyDescent="0.25" r="9" customHeight="1" ht="17.25">
      <c r="A9" s="11">
        <v>12256.4</v>
      </c>
      <c r="B9" s="50">
        <v>1.868285</v>
      </c>
      <c r="C9" s="51">
        <v>12253.3</v>
      </c>
      <c r="D9" s="50">
        <v>1.84622</v>
      </c>
      <c r="E9" s="51">
        <v>12251.6</v>
      </c>
      <c r="F9" s="50">
        <v>1.8552675</v>
      </c>
      <c r="G9" s="51">
        <v>12254.1</v>
      </c>
      <c r="H9" s="50">
        <v>1.8579225</v>
      </c>
      <c r="I9" s="51">
        <v>12254.1</v>
      </c>
      <c r="J9" s="50">
        <v>1.85951</v>
      </c>
      <c r="K9" s="51">
        <v>12255.5</v>
      </c>
      <c r="L9" s="50">
        <v>1.8542525</v>
      </c>
      <c r="M9" s="6"/>
      <c r="N9" s="52"/>
      <c r="O9" s="51">
        <v>12253.5</v>
      </c>
      <c r="P9" s="50">
        <v>1.85718</v>
      </c>
      <c r="Q9" s="6"/>
      <c r="R9" s="52"/>
      <c r="S9" s="6"/>
      <c r="T9" s="52"/>
      <c r="U9" s="51">
        <v>12254.3</v>
      </c>
      <c r="V9" s="50">
        <v>1.857135</v>
      </c>
      <c r="W9" s="6"/>
      <c r="X9" s="52"/>
      <c r="Y9" s="6"/>
      <c r="Z9" s="52"/>
      <c r="AA9" s="51">
        <v>12255.8</v>
      </c>
      <c r="AB9" s="50">
        <v>1.8515575</v>
      </c>
      <c r="AC9" s="6"/>
      <c r="AD9" s="52"/>
      <c r="AE9" s="6"/>
      <c r="AF9" s="52"/>
      <c r="AG9" s="51">
        <v>12263.7</v>
      </c>
      <c r="AH9" s="50">
        <v>1.85639</v>
      </c>
      <c r="AI9" s="6"/>
      <c r="AJ9" s="52"/>
    </row>
    <row x14ac:dyDescent="0.25" r="10" customHeight="1" ht="17.25">
      <c r="A10" s="11">
        <v>12011.3</v>
      </c>
      <c r="B10" s="50">
        <v>1.864125</v>
      </c>
      <c r="C10" s="51">
        <v>12008.1</v>
      </c>
      <c r="D10" s="50">
        <v>1.84209</v>
      </c>
      <c r="E10" s="51">
        <v>12006.5</v>
      </c>
      <c r="F10" s="50">
        <v>1.8510975</v>
      </c>
      <c r="G10" s="51">
        <v>12008.6</v>
      </c>
      <c r="H10" s="50">
        <v>1.8537425</v>
      </c>
      <c r="I10" s="51">
        <v>12009.2</v>
      </c>
      <c r="J10" s="50">
        <v>1.85536</v>
      </c>
      <c r="K10" s="51">
        <v>12010.1</v>
      </c>
      <c r="L10" s="50">
        <v>1.8501225000000001</v>
      </c>
      <c r="M10" s="6"/>
      <c r="N10" s="52"/>
      <c r="O10" s="51">
        <v>12008.3</v>
      </c>
      <c r="P10" s="50">
        <v>1.85301</v>
      </c>
      <c r="Q10" s="6"/>
      <c r="R10" s="52"/>
      <c r="S10" s="6"/>
      <c r="T10" s="52"/>
      <c r="U10" s="51">
        <v>12009</v>
      </c>
      <c r="V10" s="50">
        <v>1.8529550000000001</v>
      </c>
      <c r="W10" s="6"/>
      <c r="X10" s="52"/>
      <c r="Y10" s="6"/>
      <c r="Z10" s="52"/>
      <c r="AA10" s="51">
        <v>12010.7</v>
      </c>
      <c r="AB10" s="50">
        <v>1.8473374999999999</v>
      </c>
      <c r="AC10" s="6"/>
      <c r="AD10" s="52"/>
      <c r="AE10" s="6"/>
      <c r="AF10" s="52"/>
      <c r="AG10" s="51">
        <v>12018.4</v>
      </c>
      <c r="AH10" s="50">
        <v>1.85214</v>
      </c>
      <c r="AI10" s="6"/>
      <c r="AJ10" s="52"/>
    </row>
    <row x14ac:dyDescent="0.25" r="11" customHeight="1" ht="17.25">
      <c r="A11" s="11">
        <v>11766.2</v>
      </c>
      <c r="B11" s="50">
        <v>1.859925</v>
      </c>
      <c r="C11" s="51">
        <v>11763</v>
      </c>
      <c r="D11" s="50">
        <v>1.83785</v>
      </c>
      <c r="E11" s="51">
        <v>11761.3</v>
      </c>
      <c r="F11" s="50">
        <v>1.8467975</v>
      </c>
      <c r="G11" s="51">
        <v>11763.5</v>
      </c>
      <c r="H11" s="50">
        <v>1.8495825</v>
      </c>
      <c r="I11" s="51">
        <v>11764</v>
      </c>
      <c r="J11" s="50">
        <v>1.8511199999999999</v>
      </c>
      <c r="K11" s="51">
        <v>11765</v>
      </c>
      <c r="L11" s="50">
        <v>1.8458625</v>
      </c>
      <c r="M11" s="6"/>
      <c r="N11" s="52"/>
      <c r="O11" s="51">
        <v>11763.6</v>
      </c>
      <c r="P11" s="50">
        <v>1.84867</v>
      </c>
      <c r="Q11" s="6"/>
      <c r="R11" s="52"/>
      <c r="S11" s="6"/>
      <c r="T11" s="52"/>
      <c r="U11" s="51">
        <v>11763.8</v>
      </c>
      <c r="V11" s="50">
        <v>1.848735</v>
      </c>
      <c r="W11" s="6"/>
      <c r="X11" s="52"/>
      <c r="Y11" s="6"/>
      <c r="Z11" s="52"/>
      <c r="AA11" s="51">
        <v>11765.7</v>
      </c>
      <c r="AB11" s="50">
        <v>1.8430975</v>
      </c>
      <c r="AC11" s="6"/>
      <c r="AD11" s="52"/>
      <c r="AE11" s="6"/>
      <c r="AF11" s="52"/>
      <c r="AG11" s="51">
        <v>11773.3</v>
      </c>
      <c r="AH11" s="50">
        <v>1.84789</v>
      </c>
      <c r="AI11" s="6"/>
      <c r="AJ11" s="52"/>
    </row>
    <row x14ac:dyDescent="0.25" r="12" customHeight="1" ht="17.25">
      <c r="A12" s="11">
        <v>11521.1</v>
      </c>
      <c r="B12" s="50">
        <v>1.855645</v>
      </c>
      <c r="C12" s="51">
        <v>11517.7</v>
      </c>
      <c r="D12" s="50">
        <v>1.8337</v>
      </c>
      <c r="E12" s="51">
        <v>11516.2</v>
      </c>
      <c r="F12" s="50">
        <v>1.8423475</v>
      </c>
      <c r="G12" s="51">
        <v>11518.4</v>
      </c>
      <c r="H12" s="50">
        <v>1.8453624999999998</v>
      </c>
      <c r="I12" s="51">
        <v>11518.9</v>
      </c>
      <c r="J12" s="50">
        <v>1.8466699999999998</v>
      </c>
      <c r="K12" s="51">
        <v>11520</v>
      </c>
      <c r="L12" s="50">
        <v>1.8415225</v>
      </c>
      <c r="M12" s="6"/>
      <c r="N12" s="52"/>
      <c r="O12" s="51">
        <v>11518.6</v>
      </c>
      <c r="P12" s="50">
        <v>1.8444</v>
      </c>
      <c r="Q12" s="6"/>
      <c r="R12" s="52"/>
      <c r="S12" s="6"/>
      <c r="T12" s="52"/>
      <c r="U12" s="51">
        <v>11518.7</v>
      </c>
      <c r="V12" s="50">
        <v>1.8444349999999998</v>
      </c>
      <c r="W12" s="6"/>
      <c r="X12" s="52"/>
      <c r="Y12" s="6"/>
      <c r="Z12" s="52"/>
      <c r="AA12" s="51">
        <v>11520.5</v>
      </c>
      <c r="AB12" s="50">
        <v>1.8387674999999999</v>
      </c>
      <c r="AC12" s="6"/>
      <c r="AD12" s="52"/>
      <c r="AE12" s="6"/>
      <c r="AF12" s="52"/>
      <c r="AG12" s="51">
        <v>11528.2</v>
      </c>
      <c r="AH12" s="50">
        <v>1.8436</v>
      </c>
      <c r="AI12" s="6"/>
      <c r="AJ12" s="52"/>
    </row>
    <row x14ac:dyDescent="0.25" r="13" customHeight="1" ht="17.25">
      <c r="A13" s="11">
        <v>11276</v>
      </c>
      <c r="B13" s="50">
        <v>1.8512650000000002</v>
      </c>
      <c r="C13" s="51">
        <v>11272.7</v>
      </c>
      <c r="D13" s="50">
        <v>1.8293300000000001</v>
      </c>
      <c r="E13" s="51">
        <v>11271.1</v>
      </c>
      <c r="F13" s="50">
        <v>1.8379975</v>
      </c>
      <c r="G13" s="51">
        <v>11273.4</v>
      </c>
      <c r="H13" s="50">
        <v>1.8410924999999998</v>
      </c>
      <c r="I13" s="51">
        <v>11273.6</v>
      </c>
      <c r="J13" s="50">
        <v>1.84248</v>
      </c>
      <c r="K13" s="51">
        <v>11274.9</v>
      </c>
      <c r="L13" s="50">
        <v>1.8371325</v>
      </c>
      <c r="M13" s="6"/>
      <c r="N13" s="52"/>
      <c r="O13" s="51">
        <v>11273.4</v>
      </c>
      <c r="P13" s="50">
        <v>1.8400800000000002</v>
      </c>
      <c r="Q13" s="6"/>
      <c r="R13" s="52"/>
      <c r="S13" s="6"/>
      <c r="T13" s="52"/>
      <c r="U13" s="51">
        <v>11273.5</v>
      </c>
      <c r="V13" s="50">
        <v>1.8401550000000002</v>
      </c>
      <c r="W13" s="6"/>
      <c r="X13" s="52"/>
      <c r="Y13" s="6"/>
      <c r="Z13" s="52"/>
      <c r="AA13" s="51">
        <v>11275.2</v>
      </c>
      <c r="AB13" s="50">
        <v>1.8343574999999999</v>
      </c>
      <c r="AC13" s="6"/>
      <c r="AD13" s="52"/>
      <c r="AE13" s="6"/>
      <c r="AF13" s="52"/>
      <c r="AG13" s="51">
        <v>11282.6</v>
      </c>
      <c r="AH13" s="50">
        <v>1.83907</v>
      </c>
      <c r="AI13" s="6"/>
      <c r="AJ13" s="52"/>
    </row>
    <row x14ac:dyDescent="0.25" r="14" customHeight="1" ht="17.25">
      <c r="A14" s="11">
        <v>11030.9</v>
      </c>
      <c r="B14" s="50">
        <v>1.846845</v>
      </c>
      <c r="C14" s="51">
        <v>11027.6</v>
      </c>
      <c r="D14" s="50">
        <v>1.82491</v>
      </c>
      <c r="E14" s="51">
        <v>11026.2</v>
      </c>
      <c r="F14" s="50">
        <v>1.8335575</v>
      </c>
      <c r="G14" s="51">
        <v>11028.3</v>
      </c>
      <c r="H14" s="50">
        <v>1.8367025</v>
      </c>
      <c r="I14" s="51">
        <v>11028.5</v>
      </c>
      <c r="J14" s="50">
        <v>1.8381299999999998</v>
      </c>
      <c r="K14" s="51">
        <v>11029.8</v>
      </c>
      <c r="L14" s="50">
        <v>1.8327725000000001</v>
      </c>
      <c r="M14" s="6"/>
      <c r="N14" s="52"/>
      <c r="O14" s="51">
        <v>11028.1</v>
      </c>
      <c r="P14" s="50">
        <v>1.83572</v>
      </c>
      <c r="Q14" s="6"/>
      <c r="R14" s="52"/>
      <c r="S14" s="6"/>
      <c r="T14" s="52"/>
      <c r="U14" s="51">
        <v>11028.5</v>
      </c>
      <c r="V14" s="50">
        <v>1.835715</v>
      </c>
      <c r="W14" s="6"/>
      <c r="X14" s="52"/>
      <c r="Y14" s="6"/>
      <c r="Z14" s="52"/>
      <c r="AA14" s="51">
        <v>11029.9</v>
      </c>
      <c r="AB14" s="50">
        <v>1.8300075</v>
      </c>
      <c r="AC14" s="6"/>
      <c r="AD14" s="52"/>
      <c r="AE14" s="6"/>
      <c r="AF14" s="52"/>
      <c r="AG14" s="51">
        <v>11037.7</v>
      </c>
      <c r="AH14" s="50">
        <v>1.8344799999999999</v>
      </c>
      <c r="AI14" s="6"/>
      <c r="AJ14" s="52"/>
    </row>
    <row x14ac:dyDescent="0.25" r="15" customHeight="1" ht="17.25">
      <c r="A15" s="11">
        <v>10785.8</v>
      </c>
      <c r="B15" s="50">
        <v>1.842525</v>
      </c>
      <c r="C15" s="51">
        <v>10782.5</v>
      </c>
      <c r="D15" s="50">
        <v>1.82042</v>
      </c>
      <c r="E15" s="51">
        <v>10781.1</v>
      </c>
      <c r="F15" s="50">
        <v>1.8291075</v>
      </c>
      <c r="G15" s="51">
        <v>10783.6</v>
      </c>
      <c r="H15" s="50">
        <v>1.8322325</v>
      </c>
      <c r="I15" s="51">
        <v>10783.5</v>
      </c>
      <c r="J15" s="50">
        <v>1.83365</v>
      </c>
      <c r="K15" s="51">
        <v>10784.5</v>
      </c>
      <c r="L15" s="50">
        <v>1.8282425</v>
      </c>
      <c r="M15" s="6"/>
      <c r="N15" s="52"/>
      <c r="O15" s="51">
        <v>10783.1</v>
      </c>
      <c r="P15" s="50">
        <v>1.83117</v>
      </c>
      <c r="Q15" s="6"/>
      <c r="R15" s="52"/>
      <c r="S15" s="6"/>
      <c r="T15" s="52"/>
      <c r="U15" s="51">
        <v>10783.6</v>
      </c>
      <c r="V15" s="50">
        <v>1.831255</v>
      </c>
      <c r="W15" s="6"/>
      <c r="X15" s="52"/>
      <c r="Y15" s="6"/>
      <c r="Z15" s="52"/>
      <c r="AA15" s="51">
        <v>10785</v>
      </c>
      <c r="AB15" s="50">
        <v>1.8255375</v>
      </c>
      <c r="AC15" s="6"/>
      <c r="AD15" s="52"/>
      <c r="AE15" s="6"/>
      <c r="AF15" s="52"/>
      <c r="AG15" s="51">
        <v>10792.3</v>
      </c>
      <c r="AH15" s="50">
        <v>1.82988</v>
      </c>
      <c r="AI15" s="6"/>
      <c r="AJ15" s="52"/>
    </row>
    <row x14ac:dyDescent="0.25" r="16" customHeight="1" ht="17.25">
      <c r="A16" s="11">
        <v>10540.5</v>
      </c>
      <c r="B16" s="50">
        <v>1.838005</v>
      </c>
      <c r="C16" s="51">
        <v>10537.6</v>
      </c>
      <c r="D16" s="50">
        <v>1.8159100000000001</v>
      </c>
      <c r="E16" s="51">
        <v>10536.1</v>
      </c>
      <c r="F16" s="50">
        <v>1.8245375000000001</v>
      </c>
      <c r="G16" s="51">
        <v>10538.3</v>
      </c>
      <c r="H16" s="50">
        <v>1.8277225000000001</v>
      </c>
      <c r="I16" s="51">
        <v>10538.4</v>
      </c>
      <c r="J16" s="50">
        <v>1.82914</v>
      </c>
      <c r="K16" s="51">
        <v>10539.4</v>
      </c>
      <c r="L16" s="50">
        <v>1.8236325</v>
      </c>
      <c r="M16" s="6"/>
      <c r="N16" s="52"/>
      <c r="O16" s="51">
        <v>10538.1</v>
      </c>
      <c r="P16" s="50">
        <v>1.82657</v>
      </c>
      <c r="Q16" s="6"/>
      <c r="R16" s="52"/>
      <c r="S16" s="6"/>
      <c r="T16" s="52"/>
      <c r="U16" s="51">
        <v>10538.4</v>
      </c>
      <c r="V16" s="50">
        <v>1.826625</v>
      </c>
      <c r="W16" s="6"/>
      <c r="X16" s="52"/>
      <c r="Y16" s="6"/>
      <c r="Z16" s="52"/>
      <c r="AA16" s="51">
        <v>10540</v>
      </c>
      <c r="AB16" s="50">
        <v>1.8208374999999999</v>
      </c>
      <c r="AC16" s="6"/>
      <c r="AD16" s="52"/>
      <c r="AE16" s="6"/>
      <c r="AF16" s="52"/>
      <c r="AG16" s="51">
        <v>10547.2</v>
      </c>
      <c r="AH16" s="50">
        <v>1.82523</v>
      </c>
      <c r="AI16" s="6"/>
      <c r="AJ16" s="52"/>
    </row>
    <row x14ac:dyDescent="0.25" r="17" customHeight="1" ht="17.25">
      <c r="A17" s="11">
        <v>10295.5</v>
      </c>
      <c r="B17" s="50">
        <v>1.833305</v>
      </c>
      <c r="C17" s="51">
        <v>10292.4</v>
      </c>
      <c r="D17" s="50">
        <v>1.81148</v>
      </c>
      <c r="E17" s="51">
        <v>10291</v>
      </c>
      <c r="F17" s="50">
        <v>1.8199275000000001</v>
      </c>
      <c r="G17" s="51">
        <v>10293.1</v>
      </c>
      <c r="H17" s="50">
        <v>1.8232325</v>
      </c>
      <c r="I17" s="51">
        <v>10293.2</v>
      </c>
      <c r="J17" s="50">
        <v>1.8246499999999999</v>
      </c>
      <c r="K17" s="51">
        <v>10294.5</v>
      </c>
      <c r="L17" s="50">
        <v>1.8190725</v>
      </c>
      <c r="M17" s="6"/>
      <c r="N17" s="52"/>
      <c r="O17" s="51">
        <v>10292.9</v>
      </c>
      <c r="P17" s="50">
        <v>1.82203</v>
      </c>
      <c r="Q17" s="6"/>
      <c r="R17" s="52"/>
      <c r="S17" s="6"/>
      <c r="T17" s="52"/>
      <c r="U17" s="51">
        <v>10293.1</v>
      </c>
      <c r="V17" s="50">
        <v>1.8220550000000002</v>
      </c>
      <c r="W17" s="6"/>
      <c r="X17" s="52"/>
      <c r="Y17" s="6"/>
      <c r="Z17" s="52"/>
      <c r="AA17" s="51">
        <v>10294.8</v>
      </c>
      <c r="AB17" s="50">
        <v>1.8161375</v>
      </c>
      <c r="AC17" s="6"/>
      <c r="AD17" s="52"/>
      <c r="AE17" s="6"/>
      <c r="AF17" s="52"/>
      <c r="AG17" s="51">
        <v>10301.9</v>
      </c>
      <c r="AH17" s="50">
        <v>1.8205</v>
      </c>
      <c r="AI17" s="6"/>
      <c r="AJ17" s="52"/>
    </row>
    <row x14ac:dyDescent="0.25" r="18" customHeight="1" ht="17.25">
      <c r="A18" s="11">
        <v>10050.2</v>
      </c>
      <c r="B18" s="50">
        <v>1.828615</v>
      </c>
      <c r="C18" s="51">
        <v>10047.4</v>
      </c>
      <c r="D18" s="50">
        <v>1.80682</v>
      </c>
      <c r="E18" s="51">
        <v>10045.6</v>
      </c>
      <c r="F18" s="50">
        <v>1.8152575</v>
      </c>
      <c r="G18" s="51">
        <v>10047.9</v>
      </c>
      <c r="H18" s="50">
        <v>1.8186624999999998</v>
      </c>
      <c r="I18" s="51">
        <v>10048.2</v>
      </c>
      <c r="J18" s="50">
        <v>1.81998</v>
      </c>
      <c r="K18" s="51">
        <v>10049.5</v>
      </c>
      <c r="L18" s="50">
        <v>1.8143725</v>
      </c>
      <c r="M18" s="6"/>
      <c r="N18" s="52"/>
      <c r="O18" s="51">
        <v>10047.9</v>
      </c>
      <c r="P18" s="50">
        <v>1.81734</v>
      </c>
      <c r="Q18" s="6"/>
      <c r="R18" s="52"/>
      <c r="S18" s="6"/>
      <c r="T18" s="52"/>
      <c r="U18" s="51">
        <v>10048</v>
      </c>
      <c r="V18" s="50">
        <v>1.8174549999999998</v>
      </c>
      <c r="W18" s="6"/>
      <c r="X18" s="52"/>
      <c r="Y18" s="6"/>
      <c r="Z18" s="52"/>
      <c r="AA18" s="51">
        <v>10049.5</v>
      </c>
      <c r="AB18" s="50">
        <v>1.8114975</v>
      </c>
      <c r="AC18" s="6"/>
      <c r="AD18" s="52"/>
      <c r="AE18" s="6"/>
      <c r="AF18" s="52"/>
      <c r="AG18" s="51">
        <v>10056.4</v>
      </c>
      <c r="AH18" s="50">
        <v>1.81569</v>
      </c>
      <c r="AI18" s="6"/>
      <c r="AJ18" s="52"/>
    </row>
    <row x14ac:dyDescent="0.25" r="19" customHeight="1" ht="17.25">
      <c r="A19" s="11">
        <v>9804.91</v>
      </c>
      <c r="B19" s="50">
        <v>1.8239150000000002</v>
      </c>
      <c r="C19" s="51">
        <v>9802.12</v>
      </c>
      <c r="D19" s="50">
        <v>1.80209</v>
      </c>
      <c r="E19" s="51">
        <v>9800.95</v>
      </c>
      <c r="F19" s="50">
        <v>1.8104175</v>
      </c>
      <c r="G19" s="51">
        <v>9803.11</v>
      </c>
      <c r="H19" s="50">
        <v>1.8139425</v>
      </c>
      <c r="I19" s="51">
        <v>9803.11</v>
      </c>
      <c r="J19" s="50">
        <v>1.8152</v>
      </c>
      <c r="K19" s="51">
        <v>9804.42</v>
      </c>
      <c r="L19" s="50">
        <v>1.8096125</v>
      </c>
      <c r="M19" s="6"/>
      <c r="N19" s="52"/>
      <c r="O19" s="51">
        <v>9802.89</v>
      </c>
      <c r="P19" s="50">
        <v>1.81254</v>
      </c>
      <c r="Q19" s="6"/>
      <c r="R19" s="52"/>
      <c r="S19" s="6"/>
      <c r="T19" s="52"/>
      <c r="U19" s="51">
        <v>9803.05</v>
      </c>
      <c r="V19" s="50">
        <v>1.812655</v>
      </c>
      <c r="W19" s="6"/>
      <c r="X19" s="52"/>
      <c r="Y19" s="6"/>
      <c r="Z19" s="52"/>
      <c r="AA19" s="51">
        <v>9804.39</v>
      </c>
      <c r="AB19" s="50">
        <v>1.8066575</v>
      </c>
      <c r="AC19" s="6"/>
      <c r="AD19" s="52"/>
      <c r="AE19" s="6"/>
      <c r="AF19" s="52"/>
      <c r="AG19" s="51">
        <v>9811.23</v>
      </c>
      <c r="AH19" s="50">
        <v>1.81076</v>
      </c>
      <c r="AI19" s="6"/>
      <c r="AJ19" s="52"/>
    </row>
    <row x14ac:dyDescent="0.25" r="20" customHeight="1" ht="17.25">
      <c r="A20" s="11">
        <v>9559.79</v>
      </c>
      <c r="B20" s="50">
        <v>1.8190250000000001</v>
      </c>
      <c r="C20" s="51">
        <v>9557.2</v>
      </c>
      <c r="D20" s="50">
        <v>1.79728</v>
      </c>
      <c r="E20" s="51">
        <v>9555.79</v>
      </c>
      <c r="F20" s="50">
        <v>1.8056075</v>
      </c>
      <c r="G20" s="51">
        <v>9557.9</v>
      </c>
      <c r="H20" s="50">
        <v>1.8091624999999998</v>
      </c>
      <c r="I20" s="51">
        <v>9557.89</v>
      </c>
      <c r="J20" s="50">
        <v>1.81029</v>
      </c>
      <c r="K20" s="51">
        <v>9559.17</v>
      </c>
      <c r="L20" s="50">
        <v>1.8046425</v>
      </c>
      <c r="M20" s="6"/>
      <c r="N20" s="52"/>
      <c r="O20" s="51">
        <v>9557.75</v>
      </c>
      <c r="P20" s="50">
        <v>1.80765</v>
      </c>
      <c r="Q20" s="6"/>
      <c r="R20" s="52"/>
      <c r="S20" s="6"/>
      <c r="T20" s="52"/>
      <c r="U20" s="51">
        <v>9558.13</v>
      </c>
      <c r="V20" s="50">
        <v>1.8077649999999998</v>
      </c>
      <c r="W20" s="6"/>
      <c r="X20" s="52"/>
      <c r="Y20" s="6"/>
      <c r="Z20" s="52"/>
      <c r="AA20" s="51">
        <v>9559.49</v>
      </c>
      <c r="AB20" s="50">
        <v>1.8017075</v>
      </c>
      <c r="AC20" s="6"/>
      <c r="AD20" s="52"/>
      <c r="AE20" s="6"/>
      <c r="AF20" s="52"/>
      <c r="AG20" s="51">
        <v>9565.78</v>
      </c>
      <c r="AH20" s="50">
        <v>1.80589</v>
      </c>
      <c r="AI20" s="6"/>
      <c r="AJ20" s="52"/>
    </row>
    <row x14ac:dyDescent="0.25" r="21" customHeight="1" ht="17.25">
      <c r="A21" s="11">
        <v>9314.74</v>
      </c>
      <c r="B21" s="50">
        <v>1.814175</v>
      </c>
      <c r="C21" s="51">
        <v>9311.96</v>
      </c>
      <c r="D21" s="50">
        <v>1.79238</v>
      </c>
      <c r="E21" s="51">
        <v>9310.72</v>
      </c>
      <c r="F21" s="50">
        <v>1.8006575</v>
      </c>
      <c r="G21" s="51">
        <v>9312.71</v>
      </c>
      <c r="H21" s="50">
        <v>1.8042325</v>
      </c>
      <c r="I21" s="51">
        <v>9312.6</v>
      </c>
      <c r="J21" s="50">
        <v>1.8053599999999999</v>
      </c>
      <c r="K21" s="51">
        <v>9314.17</v>
      </c>
      <c r="L21" s="50">
        <v>1.7996925</v>
      </c>
      <c r="M21" s="6"/>
      <c r="N21" s="52"/>
      <c r="O21" s="51">
        <v>9312.49</v>
      </c>
      <c r="P21" s="50">
        <v>1.80267</v>
      </c>
      <c r="Q21" s="6"/>
      <c r="R21" s="52"/>
      <c r="S21" s="6"/>
      <c r="T21" s="52"/>
      <c r="U21" s="51">
        <v>9312.76</v>
      </c>
      <c r="V21" s="50">
        <v>1.802775</v>
      </c>
      <c r="W21" s="6"/>
      <c r="X21" s="52"/>
      <c r="Y21" s="6"/>
      <c r="Z21" s="52"/>
      <c r="AA21" s="51">
        <v>9314.24</v>
      </c>
      <c r="AB21" s="50">
        <v>1.7966175</v>
      </c>
      <c r="AC21" s="6"/>
      <c r="AD21" s="52"/>
      <c r="AE21" s="6"/>
      <c r="AF21" s="52"/>
      <c r="AG21" s="51">
        <v>9320.36</v>
      </c>
      <c r="AH21" s="50">
        <v>1.80084</v>
      </c>
      <c r="AI21" s="6"/>
      <c r="AJ21" s="52"/>
    </row>
    <row x14ac:dyDescent="0.25" r="22" customHeight="1" ht="17.25">
      <c r="A22" s="11">
        <v>9069.59</v>
      </c>
      <c r="B22" s="50">
        <v>1.809125</v>
      </c>
      <c r="C22" s="51">
        <v>9066.88</v>
      </c>
      <c r="D22" s="50">
        <v>1.78745</v>
      </c>
      <c r="E22" s="51">
        <v>9065.71</v>
      </c>
      <c r="F22" s="50">
        <v>1.7955975</v>
      </c>
      <c r="G22" s="51">
        <v>9067.82</v>
      </c>
      <c r="H22" s="50">
        <v>1.7992425</v>
      </c>
      <c r="I22" s="51">
        <v>9067.59</v>
      </c>
      <c r="J22" s="50">
        <v>1.8003399999999998</v>
      </c>
      <c r="K22" s="51">
        <v>9069.06</v>
      </c>
      <c r="L22" s="50">
        <v>1.7946425</v>
      </c>
      <c r="M22" s="6"/>
      <c r="N22" s="52"/>
      <c r="O22" s="51">
        <v>9067.47</v>
      </c>
      <c r="P22" s="50">
        <v>1.79765</v>
      </c>
      <c r="Q22" s="6"/>
      <c r="R22" s="52"/>
      <c r="S22" s="6"/>
      <c r="T22" s="52"/>
      <c r="U22" s="51">
        <v>9067.54</v>
      </c>
      <c r="V22" s="50">
        <v>1.7977150000000002</v>
      </c>
      <c r="W22" s="6"/>
      <c r="X22" s="52"/>
      <c r="Y22" s="6"/>
      <c r="Z22" s="52"/>
      <c r="AA22" s="51">
        <v>9069.08</v>
      </c>
      <c r="AB22" s="50">
        <v>1.7915174999999999</v>
      </c>
      <c r="AC22" s="6"/>
      <c r="AD22" s="52"/>
      <c r="AE22" s="6"/>
      <c r="AF22" s="52"/>
      <c r="AG22" s="51">
        <v>9075.41</v>
      </c>
      <c r="AH22" s="50">
        <v>1.79571</v>
      </c>
      <c r="AI22" s="6"/>
      <c r="AJ22" s="52"/>
    </row>
    <row x14ac:dyDescent="0.25" r="23" customHeight="1" ht="17.25">
      <c r="A23" s="11">
        <v>8824.56</v>
      </c>
      <c r="B23" s="50">
        <v>1.804135</v>
      </c>
      <c r="C23" s="51">
        <v>8821.79</v>
      </c>
      <c r="D23" s="50">
        <v>1.78235</v>
      </c>
      <c r="E23" s="51">
        <v>8820.7</v>
      </c>
      <c r="F23" s="50">
        <v>1.7904675</v>
      </c>
      <c r="G23" s="51">
        <v>8822.6</v>
      </c>
      <c r="H23" s="50">
        <v>1.7941725000000002</v>
      </c>
      <c r="I23" s="51">
        <v>8822.65</v>
      </c>
      <c r="J23" s="50">
        <v>1.79518</v>
      </c>
      <c r="K23" s="51">
        <v>8823.71</v>
      </c>
      <c r="L23" s="50">
        <v>1.7894725</v>
      </c>
      <c r="M23" s="6"/>
      <c r="N23" s="52"/>
      <c r="O23" s="51">
        <v>8822.3</v>
      </c>
      <c r="P23" s="50">
        <v>1.79244</v>
      </c>
      <c r="Q23" s="6"/>
      <c r="R23" s="52"/>
      <c r="S23" s="6"/>
      <c r="T23" s="52"/>
      <c r="U23" s="51">
        <v>8822.66</v>
      </c>
      <c r="V23" s="50">
        <v>1.7925550000000001</v>
      </c>
      <c r="W23" s="6"/>
      <c r="X23" s="52"/>
      <c r="Y23" s="6"/>
      <c r="Z23" s="52"/>
      <c r="AA23" s="51">
        <v>8823.93</v>
      </c>
      <c r="AB23" s="50">
        <v>1.7862475</v>
      </c>
      <c r="AC23" s="6"/>
      <c r="AD23" s="52"/>
      <c r="AE23" s="6"/>
      <c r="AF23" s="52"/>
      <c r="AG23" s="51">
        <v>8829.81</v>
      </c>
      <c r="AH23" s="50">
        <v>1.79054</v>
      </c>
      <c r="AI23" s="6"/>
      <c r="AJ23" s="52"/>
    </row>
    <row x14ac:dyDescent="0.25" r="24" customHeight="1" ht="17.25">
      <c r="A24" s="11">
        <v>8579.53</v>
      </c>
      <c r="B24" s="50">
        <v>1.798945</v>
      </c>
      <c r="C24" s="51">
        <v>8576.96</v>
      </c>
      <c r="D24" s="50">
        <v>1.77704</v>
      </c>
      <c r="E24" s="51">
        <v>8575.56</v>
      </c>
      <c r="F24" s="50">
        <v>1.7852375</v>
      </c>
      <c r="G24" s="51">
        <v>8577.54</v>
      </c>
      <c r="H24" s="50">
        <v>1.7890924999999998</v>
      </c>
      <c r="I24" s="51">
        <v>8577.39</v>
      </c>
      <c r="J24" s="50">
        <v>1.78991</v>
      </c>
      <c r="K24" s="51">
        <v>8578.64</v>
      </c>
      <c r="L24" s="50">
        <v>1.7842425</v>
      </c>
      <c r="M24" s="6"/>
      <c r="N24" s="52"/>
      <c r="O24" s="51">
        <v>8577.43</v>
      </c>
      <c r="P24" s="50">
        <v>1.78713</v>
      </c>
      <c r="Q24" s="6"/>
      <c r="R24" s="52"/>
      <c r="S24" s="6"/>
      <c r="T24" s="52"/>
      <c r="U24" s="51">
        <v>8577.74</v>
      </c>
      <c r="V24" s="50">
        <v>1.7872150000000002</v>
      </c>
      <c r="W24" s="6"/>
      <c r="X24" s="52"/>
      <c r="Y24" s="6"/>
      <c r="Z24" s="52"/>
      <c r="AA24" s="51">
        <v>8578.94</v>
      </c>
      <c r="AB24" s="50">
        <v>1.7808975</v>
      </c>
      <c r="AC24" s="6"/>
      <c r="AD24" s="52"/>
      <c r="AE24" s="6"/>
      <c r="AF24" s="52"/>
      <c r="AG24" s="51">
        <v>8584.55</v>
      </c>
      <c r="AH24" s="50">
        <v>1.78522</v>
      </c>
      <c r="AI24" s="6"/>
      <c r="AJ24" s="52"/>
    </row>
    <row x14ac:dyDescent="0.25" r="25" customHeight="1" ht="17.25">
      <c r="A25" s="11">
        <v>8334.27</v>
      </c>
      <c r="B25" s="50">
        <v>1.793685</v>
      </c>
      <c r="C25" s="51">
        <v>8331.66</v>
      </c>
      <c r="D25" s="50">
        <v>1.77181</v>
      </c>
      <c r="E25" s="51">
        <v>8330.39</v>
      </c>
      <c r="F25" s="50">
        <v>1.7800075</v>
      </c>
      <c r="G25" s="51">
        <v>8332.17</v>
      </c>
      <c r="H25" s="50">
        <v>1.7838625000000001</v>
      </c>
      <c r="I25" s="51">
        <v>8332.41</v>
      </c>
      <c r="J25" s="50">
        <v>1.78454</v>
      </c>
      <c r="K25" s="51">
        <v>8333.69</v>
      </c>
      <c r="L25" s="50">
        <v>1.7789525</v>
      </c>
      <c r="M25" s="6"/>
      <c r="N25" s="52"/>
      <c r="O25" s="51">
        <v>8332.26</v>
      </c>
      <c r="P25" s="50">
        <v>1.7817</v>
      </c>
      <c r="Q25" s="6"/>
      <c r="R25" s="52"/>
      <c r="S25" s="6"/>
      <c r="T25" s="52"/>
      <c r="U25" s="51">
        <v>8332.47</v>
      </c>
      <c r="V25" s="50">
        <v>1.781955</v>
      </c>
      <c r="W25" s="6"/>
      <c r="X25" s="52"/>
      <c r="Y25" s="6"/>
      <c r="Z25" s="52"/>
      <c r="AA25" s="51">
        <v>8333.79</v>
      </c>
      <c r="AB25" s="50">
        <v>1.7755075</v>
      </c>
      <c r="AC25" s="6"/>
      <c r="AD25" s="52"/>
      <c r="AE25" s="6"/>
      <c r="AF25" s="52"/>
      <c r="AG25" s="51">
        <v>8339.31</v>
      </c>
      <c r="AH25" s="50">
        <v>1.7798</v>
      </c>
      <c r="AI25" s="6"/>
      <c r="AJ25" s="52"/>
    </row>
    <row x14ac:dyDescent="0.25" r="26" customHeight="1" ht="17.25">
      <c r="A26" s="11">
        <v>8089.13</v>
      </c>
      <c r="B26" s="50">
        <v>1.7882250000000002</v>
      </c>
      <c r="C26" s="51">
        <v>8086.52</v>
      </c>
      <c r="D26" s="50">
        <v>1.7664</v>
      </c>
      <c r="E26" s="51">
        <v>8085.43</v>
      </c>
      <c r="F26" s="50">
        <v>1.7745475</v>
      </c>
      <c r="G26" s="51">
        <v>8087.09</v>
      </c>
      <c r="H26" s="50">
        <v>1.7785025</v>
      </c>
      <c r="I26" s="51">
        <v>8087.27</v>
      </c>
      <c r="J26" s="50">
        <v>1.7790599999999999</v>
      </c>
      <c r="K26" s="51">
        <v>8088.51</v>
      </c>
      <c r="L26" s="50">
        <v>1.7734425</v>
      </c>
      <c r="M26" s="6"/>
      <c r="N26" s="52"/>
      <c r="O26" s="51">
        <v>8087.37</v>
      </c>
      <c r="P26" s="50">
        <v>1.7761900000000002</v>
      </c>
      <c r="Q26" s="6"/>
      <c r="R26" s="52"/>
      <c r="S26" s="6"/>
      <c r="T26" s="52"/>
      <c r="U26" s="51">
        <v>8087.29</v>
      </c>
      <c r="V26" s="50">
        <v>1.7766250000000001</v>
      </c>
      <c r="W26" s="6"/>
      <c r="X26" s="52"/>
      <c r="Y26" s="6"/>
      <c r="Z26" s="52"/>
      <c r="AA26" s="51">
        <v>8088.77</v>
      </c>
      <c r="AB26" s="50">
        <v>1.7699975</v>
      </c>
      <c r="AC26" s="6"/>
      <c r="AD26" s="52"/>
      <c r="AE26" s="6"/>
      <c r="AF26" s="52"/>
      <c r="AG26" s="51">
        <v>8093.97</v>
      </c>
      <c r="AH26" s="50">
        <v>1.7743</v>
      </c>
      <c r="AI26" s="6"/>
      <c r="AJ26" s="52"/>
    </row>
    <row x14ac:dyDescent="0.25" r="27" customHeight="1" ht="17.25">
      <c r="A27" s="11">
        <v>7844.02</v>
      </c>
      <c r="B27" s="50">
        <v>1.782675</v>
      </c>
      <c r="C27" s="51">
        <v>7841.35</v>
      </c>
      <c r="D27" s="50">
        <v>1.76082</v>
      </c>
      <c r="E27" s="51">
        <v>7840.37</v>
      </c>
      <c r="F27" s="50">
        <v>1.7690475</v>
      </c>
      <c r="G27" s="51">
        <v>7842.06</v>
      </c>
      <c r="H27" s="50">
        <v>1.7730625</v>
      </c>
      <c r="I27" s="51">
        <v>7842.24</v>
      </c>
      <c r="J27" s="50">
        <v>1.77344</v>
      </c>
      <c r="K27" s="51">
        <v>7843.48</v>
      </c>
      <c r="L27" s="50">
        <v>1.7678825</v>
      </c>
      <c r="M27" s="6"/>
      <c r="N27" s="52"/>
      <c r="O27" s="51">
        <v>7842.32</v>
      </c>
      <c r="P27" s="50">
        <v>1.7706600000000001</v>
      </c>
      <c r="Q27" s="6"/>
      <c r="R27" s="52"/>
      <c r="S27" s="6"/>
      <c r="T27" s="52"/>
      <c r="U27" s="51">
        <v>7842.22</v>
      </c>
      <c r="V27" s="50">
        <v>1.771105</v>
      </c>
      <c r="W27" s="6"/>
      <c r="X27" s="52"/>
      <c r="Y27" s="6"/>
      <c r="Z27" s="52"/>
      <c r="AA27" s="51">
        <v>7843.76</v>
      </c>
      <c r="AB27" s="50">
        <v>1.7644175</v>
      </c>
      <c r="AC27" s="6"/>
      <c r="AD27" s="52"/>
      <c r="AE27" s="6"/>
      <c r="AF27" s="52"/>
      <c r="AG27" s="51">
        <v>7848.73</v>
      </c>
      <c r="AH27" s="50">
        <v>1.76861</v>
      </c>
      <c r="AI27" s="6"/>
      <c r="AJ27" s="52"/>
    </row>
    <row x14ac:dyDescent="0.25" r="28" customHeight="1" ht="17.25">
      <c r="A28" s="11">
        <v>7598.77</v>
      </c>
      <c r="B28" s="50">
        <v>1.777125</v>
      </c>
      <c r="C28" s="51">
        <v>7596.47</v>
      </c>
      <c r="D28" s="50">
        <v>1.75519</v>
      </c>
      <c r="E28" s="51">
        <v>7595.11</v>
      </c>
      <c r="F28" s="50">
        <v>1.7633875</v>
      </c>
      <c r="G28" s="51">
        <v>7596.95</v>
      </c>
      <c r="H28" s="50">
        <v>1.7673725</v>
      </c>
      <c r="I28" s="51">
        <v>7597.14</v>
      </c>
      <c r="J28" s="50">
        <v>1.76779</v>
      </c>
      <c r="K28" s="51">
        <v>7598.18</v>
      </c>
      <c r="L28" s="50">
        <v>1.7622125</v>
      </c>
      <c r="M28" s="6"/>
      <c r="N28" s="52"/>
      <c r="O28" s="51">
        <v>7596.92</v>
      </c>
      <c r="P28" s="50">
        <v>1.76491</v>
      </c>
      <c r="Q28" s="6"/>
      <c r="R28" s="52"/>
      <c r="S28" s="6"/>
      <c r="T28" s="52"/>
      <c r="U28" s="51">
        <v>7597.04</v>
      </c>
      <c r="V28" s="50">
        <v>1.765475</v>
      </c>
      <c r="W28" s="6"/>
      <c r="X28" s="52"/>
      <c r="Y28" s="6"/>
      <c r="Z28" s="52"/>
      <c r="AA28" s="51">
        <v>7598.46</v>
      </c>
      <c r="AB28" s="50">
        <v>1.7585475</v>
      </c>
      <c r="AC28" s="6"/>
      <c r="AD28" s="52"/>
      <c r="AE28" s="6"/>
      <c r="AF28" s="52"/>
      <c r="AG28" s="51">
        <v>7603.42</v>
      </c>
      <c r="AH28" s="50">
        <v>1.76287</v>
      </c>
      <c r="AI28" s="6"/>
      <c r="AJ28" s="52"/>
    </row>
    <row x14ac:dyDescent="0.25" r="29" customHeight="1" ht="17.25">
      <c r="A29" s="11">
        <v>7353.81</v>
      </c>
      <c r="B29" s="50">
        <v>1.771365</v>
      </c>
      <c r="C29" s="51">
        <v>7351.4</v>
      </c>
      <c r="D29" s="50">
        <v>1.74946</v>
      </c>
      <c r="E29" s="51">
        <v>7350.06</v>
      </c>
      <c r="F29" s="50">
        <v>1.7576275000000001</v>
      </c>
      <c r="G29" s="51">
        <v>7351.93</v>
      </c>
      <c r="H29" s="50">
        <v>1.7617224999999999</v>
      </c>
      <c r="I29" s="51">
        <v>7352.08</v>
      </c>
      <c r="J29" s="50">
        <v>1.7620799999999999</v>
      </c>
      <c r="K29" s="51">
        <v>7353.14</v>
      </c>
      <c r="L29" s="50">
        <v>1.7563225</v>
      </c>
      <c r="M29" s="6"/>
      <c r="N29" s="52"/>
      <c r="O29" s="51">
        <v>7351.99</v>
      </c>
      <c r="P29" s="50">
        <v>1.75905</v>
      </c>
      <c r="Q29" s="6"/>
      <c r="R29" s="52"/>
      <c r="S29" s="6"/>
      <c r="T29" s="52"/>
      <c r="U29" s="51">
        <v>7352</v>
      </c>
      <c r="V29" s="50">
        <v>1.7596150000000002</v>
      </c>
      <c r="W29" s="6"/>
      <c r="X29" s="52"/>
      <c r="Y29" s="6"/>
      <c r="Z29" s="52"/>
      <c r="AA29" s="51">
        <v>7353.29</v>
      </c>
      <c r="AB29" s="50">
        <v>1.7526575</v>
      </c>
      <c r="AC29" s="6"/>
      <c r="AD29" s="52"/>
      <c r="AE29" s="6"/>
      <c r="AF29" s="52"/>
      <c r="AG29" s="51">
        <v>7358.28</v>
      </c>
      <c r="AH29" s="50">
        <v>1.75699</v>
      </c>
      <c r="AI29" s="6"/>
      <c r="AJ29" s="52"/>
    </row>
    <row x14ac:dyDescent="0.25" r="30" customHeight="1" ht="17.25">
      <c r="A30" s="11">
        <v>7108.43</v>
      </c>
      <c r="B30" s="50">
        <v>1.765635</v>
      </c>
      <c r="C30" s="51">
        <v>7106.25</v>
      </c>
      <c r="D30" s="50">
        <v>1.74363</v>
      </c>
      <c r="E30" s="51">
        <v>7105.09</v>
      </c>
      <c r="F30" s="50">
        <v>1.7516575</v>
      </c>
      <c r="G30" s="51">
        <v>7106.82</v>
      </c>
      <c r="H30" s="50">
        <v>1.7557625</v>
      </c>
      <c r="I30" s="51">
        <v>7107.03</v>
      </c>
      <c r="J30" s="50">
        <v>1.75599</v>
      </c>
      <c r="K30" s="51">
        <v>7107.86</v>
      </c>
      <c r="L30" s="50">
        <v>1.7504125</v>
      </c>
      <c r="M30" s="6"/>
      <c r="N30" s="52"/>
      <c r="O30" s="51">
        <v>7106.98</v>
      </c>
      <c r="P30" s="50">
        <v>1.7531400000000001</v>
      </c>
      <c r="Q30" s="6"/>
      <c r="R30" s="52"/>
      <c r="S30" s="6"/>
      <c r="T30" s="52"/>
      <c r="U30" s="51">
        <v>7107.07</v>
      </c>
      <c r="V30" s="50">
        <v>1.7537349999999998</v>
      </c>
      <c r="W30" s="6"/>
      <c r="X30" s="52"/>
      <c r="Y30" s="6"/>
      <c r="Z30" s="52"/>
      <c r="AA30" s="51">
        <v>7108.02</v>
      </c>
      <c r="AB30" s="50">
        <v>1.7466275</v>
      </c>
      <c r="AC30" s="6"/>
      <c r="AD30" s="52"/>
      <c r="AE30" s="6"/>
      <c r="AF30" s="52"/>
      <c r="AG30" s="51">
        <v>7113.05</v>
      </c>
      <c r="AH30" s="50">
        <v>1.75094</v>
      </c>
      <c r="AI30" s="6"/>
      <c r="AJ30" s="52"/>
    </row>
    <row x14ac:dyDescent="0.25" r="31" customHeight="1" ht="17.25">
      <c r="A31" s="11">
        <v>6863.26</v>
      </c>
      <c r="B31" s="50">
        <v>1.7596850000000002</v>
      </c>
      <c r="C31" s="51">
        <v>6861.13</v>
      </c>
      <c r="D31" s="50">
        <v>1.73757</v>
      </c>
      <c r="E31" s="51">
        <v>6860.01</v>
      </c>
      <c r="F31" s="50">
        <v>1.7456975000000001</v>
      </c>
      <c r="G31" s="51">
        <v>6861.77</v>
      </c>
      <c r="H31" s="50">
        <v>1.7497425</v>
      </c>
      <c r="I31" s="51">
        <v>6861.92</v>
      </c>
      <c r="J31" s="50">
        <v>1.74993</v>
      </c>
      <c r="K31" s="51">
        <v>6862.81</v>
      </c>
      <c r="L31" s="50">
        <v>1.7443725</v>
      </c>
      <c r="M31" s="6"/>
      <c r="N31" s="52"/>
      <c r="O31" s="51">
        <v>6861.9</v>
      </c>
      <c r="P31" s="50">
        <v>1.74702</v>
      </c>
      <c r="Q31" s="6"/>
      <c r="R31" s="52"/>
      <c r="S31" s="6"/>
      <c r="T31" s="52"/>
      <c r="U31" s="51">
        <v>6861.89</v>
      </c>
      <c r="V31" s="50">
        <v>1.747605</v>
      </c>
      <c r="W31" s="6"/>
      <c r="X31" s="52"/>
      <c r="Y31" s="6"/>
      <c r="Z31" s="52"/>
      <c r="AA31" s="51">
        <v>6863.05</v>
      </c>
      <c r="AB31" s="50">
        <v>1.7404475</v>
      </c>
      <c r="AC31" s="6"/>
      <c r="AD31" s="52"/>
      <c r="AE31" s="6"/>
      <c r="AF31" s="52"/>
      <c r="AG31" s="51">
        <v>6867.69</v>
      </c>
      <c r="AH31" s="50">
        <v>1.74479</v>
      </c>
      <c r="AI31" s="6"/>
      <c r="AJ31" s="52"/>
    </row>
    <row x14ac:dyDescent="0.25" r="32" customHeight="1" ht="17.25">
      <c r="A32" s="11">
        <v>6618.29</v>
      </c>
      <c r="B32" s="50">
        <v>1.753505</v>
      </c>
      <c r="C32" s="51">
        <v>6615.99</v>
      </c>
      <c r="D32" s="50">
        <v>1.7314</v>
      </c>
      <c r="E32" s="51">
        <v>6615.13</v>
      </c>
      <c r="F32" s="50">
        <v>1.7394375</v>
      </c>
      <c r="G32" s="51">
        <v>6616.69</v>
      </c>
      <c r="H32" s="50">
        <v>1.7436625000000001</v>
      </c>
      <c r="I32" s="51">
        <v>6616.89</v>
      </c>
      <c r="J32" s="50">
        <v>1.74365</v>
      </c>
      <c r="K32" s="51">
        <v>6617.62</v>
      </c>
      <c r="L32" s="50">
        <v>1.7381825</v>
      </c>
      <c r="M32" s="6"/>
      <c r="N32" s="52"/>
      <c r="O32" s="51">
        <v>6616.83</v>
      </c>
      <c r="P32" s="50">
        <v>1.74072</v>
      </c>
      <c r="Q32" s="6"/>
      <c r="R32" s="52"/>
      <c r="S32" s="6"/>
      <c r="T32" s="52"/>
      <c r="U32" s="51">
        <v>6616.73</v>
      </c>
      <c r="V32" s="50">
        <v>1.741415</v>
      </c>
      <c r="W32" s="6"/>
      <c r="X32" s="52"/>
      <c r="Y32" s="6"/>
      <c r="Z32" s="52"/>
      <c r="AA32" s="51">
        <v>6617.84</v>
      </c>
      <c r="AB32" s="50">
        <v>1.7340375</v>
      </c>
      <c r="AC32" s="6"/>
      <c r="AD32" s="52"/>
      <c r="AE32" s="6"/>
      <c r="AF32" s="52"/>
      <c r="AG32" s="51">
        <v>6622.16</v>
      </c>
      <c r="AH32" s="50">
        <v>1.73842</v>
      </c>
      <c r="AI32" s="6"/>
      <c r="AJ32" s="52"/>
    </row>
    <row x14ac:dyDescent="0.25" r="33" customHeight="1" ht="17.25">
      <c r="A33" s="11">
        <v>6373.09</v>
      </c>
      <c r="B33" s="50">
        <v>1.7472450000000002</v>
      </c>
      <c r="C33" s="51">
        <v>6370.9</v>
      </c>
      <c r="D33" s="50">
        <v>1.72507</v>
      </c>
      <c r="E33" s="51">
        <v>6370.28</v>
      </c>
      <c r="F33" s="50">
        <v>1.7330375</v>
      </c>
      <c r="G33" s="51">
        <v>6371.91</v>
      </c>
      <c r="H33" s="50">
        <v>1.7373124999999998</v>
      </c>
      <c r="I33" s="51">
        <v>6371.82</v>
      </c>
      <c r="J33" s="50">
        <v>1.73728</v>
      </c>
      <c r="K33" s="51">
        <v>6372.44</v>
      </c>
      <c r="L33" s="50">
        <v>1.7317725</v>
      </c>
      <c r="M33" s="6"/>
      <c r="N33" s="52"/>
      <c r="O33" s="51">
        <v>6371.74</v>
      </c>
      <c r="P33" s="50">
        <v>1.73424</v>
      </c>
      <c r="Q33" s="6"/>
      <c r="R33" s="52"/>
      <c r="S33" s="6"/>
      <c r="T33" s="52"/>
      <c r="U33" s="51">
        <v>6371.62</v>
      </c>
      <c r="V33" s="50">
        <v>1.735135</v>
      </c>
      <c r="W33" s="6"/>
      <c r="X33" s="52"/>
      <c r="Y33" s="6"/>
      <c r="Z33" s="52"/>
      <c r="AA33" s="51">
        <v>6372.92</v>
      </c>
      <c r="AB33" s="50">
        <v>1.7273975</v>
      </c>
      <c r="AC33" s="6"/>
      <c r="AD33" s="52"/>
      <c r="AE33" s="6"/>
      <c r="AF33" s="52"/>
      <c r="AG33" s="51">
        <v>6377.05</v>
      </c>
      <c r="AH33" s="50">
        <v>1.73184</v>
      </c>
      <c r="AI33" s="6"/>
      <c r="AJ33" s="52"/>
    </row>
    <row x14ac:dyDescent="0.25" r="34" customHeight="1" ht="17.25">
      <c r="A34" s="11">
        <v>6127.89</v>
      </c>
      <c r="B34" s="50">
        <v>1.740785</v>
      </c>
      <c r="C34" s="51">
        <v>6126.09</v>
      </c>
      <c r="D34" s="50">
        <v>1.71871</v>
      </c>
      <c r="E34" s="51">
        <v>6125.36</v>
      </c>
      <c r="F34" s="50">
        <v>1.7264875</v>
      </c>
      <c r="G34" s="51">
        <v>6126.68</v>
      </c>
      <c r="H34" s="50">
        <v>1.7308824999999999</v>
      </c>
      <c r="I34" s="51">
        <v>6126.64</v>
      </c>
      <c r="J34" s="50">
        <v>1.73051</v>
      </c>
      <c r="K34" s="51">
        <v>6127.48</v>
      </c>
      <c r="L34" s="50">
        <v>1.7251225000000001</v>
      </c>
      <c r="M34" s="6"/>
      <c r="N34" s="52"/>
      <c r="O34" s="51">
        <v>6126.74</v>
      </c>
      <c r="P34" s="50">
        <v>1.7275800000000001</v>
      </c>
      <c r="Q34" s="6"/>
      <c r="R34" s="52"/>
      <c r="S34" s="6"/>
      <c r="T34" s="52"/>
      <c r="U34" s="51">
        <v>6126.63</v>
      </c>
      <c r="V34" s="50">
        <v>1.728615</v>
      </c>
      <c r="W34" s="6"/>
      <c r="X34" s="52"/>
      <c r="Y34" s="6"/>
      <c r="Z34" s="52"/>
      <c r="AA34" s="51">
        <v>6127.79</v>
      </c>
      <c r="AB34" s="50">
        <v>1.7206275</v>
      </c>
      <c r="AC34" s="6"/>
      <c r="AD34" s="52"/>
      <c r="AE34" s="6"/>
      <c r="AF34" s="52"/>
      <c r="AG34" s="51">
        <v>6131.79</v>
      </c>
      <c r="AH34" s="50">
        <v>1.72514</v>
      </c>
      <c r="AI34" s="6"/>
      <c r="AJ34" s="52"/>
    </row>
    <row x14ac:dyDescent="0.25" r="35" customHeight="1" ht="17.25">
      <c r="A35" s="11">
        <v>5882.69</v>
      </c>
      <c r="B35" s="50">
        <v>1.7341250000000001</v>
      </c>
      <c r="C35" s="51">
        <v>5881.08</v>
      </c>
      <c r="D35" s="50">
        <v>1.71208</v>
      </c>
      <c r="E35" s="51">
        <v>5880.21</v>
      </c>
      <c r="F35" s="50">
        <v>1.7197775</v>
      </c>
      <c r="G35" s="51">
        <v>5881.48</v>
      </c>
      <c r="H35" s="50">
        <v>1.7242425</v>
      </c>
      <c r="I35" s="51">
        <v>5881.53</v>
      </c>
      <c r="J35" s="50">
        <v>1.72373</v>
      </c>
      <c r="K35" s="51">
        <v>5882.43</v>
      </c>
      <c r="L35" s="50">
        <v>1.7184125000000001</v>
      </c>
      <c r="M35" s="6"/>
      <c r="N35" s="52"/>
      <c r="O35" s="51">
        <v>5881.6</v>
      </c>
      <c r="P35" s="50">
        <v>1.7208</v>
      </c>
      <c r="Q35" s="6"/>
      <c r="R35" s="52"/>
      <c r="S35" s="6"/>
      <c r="T35" s="52"/>
      <c r="U35" s="51">
        <v>5881.44</v>
      </c>
      <c r="V35" s="50">
        <v>1.721835</v>
      </c>
      <c r="W35" s="6"/>
      <c r="X35" s="52"/>
      <c r="Y35" s="6"/>
      <c r="Z35" s="52"/>
      <c r="AA35" s="51">
        <v>5882.64</v>
      </c>
      <c r="AB35" s="50">
        <v>1.7136575</v>
      </c>
      <c r="AC35" s="6"/>
      <c r="AD35" s="52"/>
      <c r="AE35" s="6"/>
      <c r="AF35" s="52"/>
      <c r="AG35" s="51">
        <v>5886.47</v>
      </c>
      <c r="AH35" s="50">
        <v>1.71832</v>
      </c>
      <c r="AI35" s="6"/>
      <c r="AJ35" s="52"/>
    </row>
    <row x14ac:dyDescent="0.25" r="36" customHeight="1" ht="17.25">
      <c r="A36" s="11">
        <v>5637.53</v>
      </c>
      <c r="B36" s="50">
        <v>1.727455</v>
      </c>
      <c r="C36" s="51">
        <v>5636.07</v>
      </c>
      <c r="D36" s="50">
        <v>1.70512</v>
      </c>
      <c r="E36" s="51">
        <v>5635.12</v>
      </c>
      <c r="F36" s="50">
        <v>1.7127775</v>
      </c>
      <c r="G36" s="51">
        <v>5636.42</v>
      </c>
      <c r="H36" s="50">
        <v>1.7173725000000002</v>
      </c>
      <c r="I36" s="51">
        <v>5636.51</v>
      </c>
      <c r="J36" s="50">
        <v>1.71678</v>
      </c>
      <c r="K36" s="51">
        <v>5637.28</v>
      </c>
      <c r="L36" s="50">
        <v>1.7113925</v>
      </c>
      <c r="M36" s="6"/>
      <c r="N36" s="52"/>
      <c r="O36" s="51">
        <v>5636.44</v>
      </c>
      <c r="P36" s="50">
        <v>1.7138200000000001</v>
      </c>
      <c r="Q36" s="6"/>
      <c r="R36" s="52"/>
      <c r="S36" s="6"/>
      <c r="T36" s="52"/>
      <c r="U36" s="51">
        <v>5636.34</v>
      </c>
      <c r="V36" s="50">
        <v>1.7148050000000001</v>
      </c>
      <c r="W36" s="6"/>
      <c r="X36" s="52"/>
      <c r="Y36" s="6"/>
      <c r="Z36" s="52"/>
      <c r="AA36" s="51">
        <v>5637.6</v>
      </c>
      <c r="AB36" s="50">
        <v>1.7064575</v>
      </c>
      <c r="AC36" s="6"/>
      <c r="AD36" s="52"/>
      <c r="AE36" s="6"/>
      <c r="AF36" s="52"/>
      <c r="AG36" s="51">
        <v>5641.17</v>
      </c>
      <c r="AH36" s="50">
        <v>1.71124</v>
      </c>
      <c r="AI36" s="6"/>
      <c r="AJ36" s="52"/>
    </row>
    <row x14ac:dyDescent="0.25" r="37" customHeight="1" ht="17.25">
      <c r="A37" s="11">
        <v>5392.48</v>
      </c>
      <c r="B37" s="50">
        <v>1.720415</v>
      </c>
      <c r="C37" s="51">
        <v>5390.88</v>
      </c>
      <c r="D37" s="50">
        <v>1.69807</v>
      </c>
      <c r="E37" s="51">
        <v>5390.05</v>
      </c>
      <c r="F37" s="50">
        <v>1.7055175</v>
      </c>
      <c r="G37" s="51">
        <v>5391.36</v>
      </c>
      <c r="H37" s="50">
        <v>1.7102825</v>
      </c>
      <c r="I37" s="51">
        <v>5391.52</v>
      </c>
      <c r="J37" s="50">
        <v>1.7095399999999998</v>
      </c>
      <c r="K37" s="51">
        <v>5392.12</v>
      </c>
      <c r="L37" s="50">
        <v>1.7041325</v>
      </c>
      <c r="M37" s="6"/>
      <c r="N37" s="52"/>
      <c r="O37" s="51">
        <v>5391.47</v>
      </c>
      <c r="P37" s="50">
        <v>1.70658</v>
      </c>
      <c r="Q37" s="6"/>
      <c r="R37" s="52"/>
      <c r="S37" s="6"/>
      <c r="T37" s="52"/>
      <c r="U37" s="51">
        <v>5391.33</v>
      </c>
      <c r="V37" s="50">
        <v>1.7076350000000002</v>
      </c>
      <c r="W37" s="6"/>
      <c r="X37" s="52"/>
      <c r="Y37" s="6"/>
      <c r="Z37" s="52"/>
      <c r="AA37" s="51">
        <v>5392.35</v>
      </c>
      <c r="AB37" s="50">
        <v>1.6990275</v>
      </c>
      <c r="AC37" s="6"/>
      <c r="AD37" s="52"/>
      <c r="AE37" s="6"/>
      <c r="AF37" s="52"/>
      <c r="AG37" s="51">
        <v>5395.78</v>
      </c>
      <c r="AH37" s="50">
        <v>1.70378</v>
      </c>
      <c r="AI37" s="6"/>
      <c r="AJ37" s="52"/>
    </row>
    <row x14ac:dyDescent="0.25" r="38" customHeight="1" ht="17.25">
      <c r="A38" s="11">
        <v>5147.57</v>
      </c>
      <c r="B38" s="50">
        <v>1.713085</v>
      </c>
      <c r="C38" s="51">
        <v>5145.9</v>
      </c>
      <c r="D38" s="50">
        <v>1.69071</v>
      </c>
      <c r="E38" s="51">
        <v>5145.1</v>
      </c>
      <c r="F38" s="50">
        <v>1.6979875</v>
      </c>
      <c r="G38" s="51">
        <v>5146.35</v>
      </c>
      <c r="H38" s="50">
        <v>1.7030024999999998</v>
      </c>
      <c r="I38" s="51">
        <v>5146.34</v>
      </c>
      <c r="J38" s="50">
        <v>1.7020099999999998</v>
      </c>
      <c r="K38" s="51">
        <v>5146.95</v>
      </c>
      <c r="L38" s="50">
        <v>1.6966825</v>
      </c>
      <c r="M38" s="6"/>
      <c r="N38" s="52"/>
      <c r="O38" s="51">
        <v>5146.38</v>
      </c>
      <c r="P38" s="50">
        <v>1.6991</v>
      </c>
      <c r="Q38" s="6"/>
      <c r="R38" s="52"/>
      <c r="S38" s="6"/>
      <c r="T38" s="52"/>
      <c r="U38" s="51">
        <v>5146.23</v>
      </c>
      <c r="V38" s="50">
        <v>1.700265</v>
      </c>
      <c r="W38" s="6"/>
      <c r="X38" s="52"/>
      <c r="Y38" s="6"/>
      <c r="Z38" s="52"/>
      <c r="AA38" s="51">
        <v>5147.23</v>
      </c>
      <c r="AB38" s="50">
        <v>1.6912675</v>
      </c>
      <c r="AC38" s="6"/>
      <c r="AD38" s="52"/>
      <c r="AE38" s="6"/>
      <c r="AF38" s="52"/>
      <c r="AG38" s="51">
        <v>5150.57</v>
      </c>
      <c r="AH38" s="50">
        <v>1.69615</v>
      </c>
      <c r="AI38" s="6"/>
      <c r="AJ38" s="52"/>
    </row>
    <row x14ac:dyDescent="0.25" r="39" customHeight="1" ht="17.25">
      <c r="A39" s="11">
        <v>4902.27</v>
      </c>
      <c r="B39" s="50">
        <v>1.7055150000000001</v>
      </c>
      <c r="C39" s="51">
        <v>4900.84</v>
      </c>
      <c r="D39" s="50">
        <v>1.68315</v>
      </c>
      <c r="E39" s="51">
        <v>4900.12</v>
      </c>
      <c r="F39" s="50">
        <v>1.6901675</v>
      </c>
      <c r="G39" s="51">
        <v>4901.19</v>
      </c>
      <c r="H39" s="50">
        <v>1.6954224999999998</v>
      </c>
      <c r="I39" s="51">
        <v>4901.3</v>
      </c>
      <c r="J39" s="50">
        <v>1.6942199999999998</v>
      </c>
      <c r="K39" s="51">
        <v>4901.74</v>
      </c>
      <c r="L39" s="50">
        <v>1.6888825</v>
      </c>
      <c r="M39" s="6"/>
      <c r="N39" s="52"/>
      <c r="O39" s="51">
        <v>4901.27</v>
      </c>
      <c r="P39" s="50">
        <v>1.69134</v>
      </c>
      <c r="Q39" s="6"/>
      <c r="R39" s="52"/>
      <c r="S39" s="6"/>
      <c r="T39" s="52"/>
      <c r="U39" s="51">
        <v>4901.2</v>
      </c>
      <c r="V39" s="50">
        <v>1.6925750000000002</v>
      </c>
      <c r="W39" s="6"/>
      <c r="X39" s="52"/>
      <c r="Y39" s="6"/>
      <c r="Z39" s="52"/>
      <c r="AA39" s="51">
        <v>4902.03</v>
      </c>
      <c r="AB39" s="50">
        <v>1.6832675</v>
      </c>
      <c r="AC39" s="6"/>
      <c r="AD39" s="52"/>
      <c r="AE39" s="6"/>
      <c r="AF39" s="52"/>
      <c r="AG39" s="51">
        <v>4905.2</v>
      </c>
      <c r="AH39" s="50">
        <v>1.68817</v>
      </c>
      <c r="AI39" s="6"/>
      <c r="AJ39" s="52"/>
    </row>
    <row x14ac:dyDescent="0.25" r="40" customHeight="1" ht="17.25">
      <c r="A40" s="11">
        <v>4657.12</v>
      </c>
      <c r="B40" s="50">
        <v>1.697715</v>
      </c>
      <c r="C40" s="51">
        <v>4655.78</v>
      </c>
      <c r="D40" s="50">
        <v>1.67528</v>
      </c>
      <c r="E40" s="51">
        <v>4655.21</v>
      </c>
      <c r="F40" s="50">
        <v>1.6820975</v>
      </c>
      <c r="G40" s="51">
        <v>4656.07</v>
      </c>
      <c r="H40" s="50">
        <v>1.6876025000000001</v>
      </c>
      <c r="I40" s="51">
        <v>4656.15</v>
      </c>
      <c r="J40" s="50">
        <v>1.6861599999999999</v>
      </c>
      <c r="K40" s="51">
        <v>4656.64</v>
      </c>
      <c r="L40" s="50">
        <v>1.6807325</v>
      </c>
      <c r="M40" s="6"/>
      <c r="N40" s="52"/>
      <c r="O40" s="51">
        <v>4656.14</v>
      </c>
      <c r="P40" s="50">
        <v>1.6832500000000001</v>
      </c>
      <c r="Q40" s="6"/>
      <c r="R40" s="52"/>
      <c r="S40" s="6"/>
      <c r="T40" s="52"/>
      <c r="U40" s="51">
        <v>4656.16</v>
      </c>
      <c r="V40" s="50">
        <v>1.6845949999999998</v>
      </c>
      <c r="W40" s="6"/>
      <c r="X40" s="52"/>
      <c r="Y40" s="6"/>
      <c r="Z40" s="52"/>
      <c r="AA40" s="51">
        <v>4656.82</v>
      </c>
      <c r="AB40" s="50">
        <v>1.6748775</v>
      </c>
      <c r="AC40" s="6"/>
      <c r="AD40" s="52"/>
      <c r="AE40" s="6"/>
      <c r="AF40" s="52"/>
      <c r="AG40" s="51">
        <v>4660.01</v>
      </c>
      <c r="AH40" s="50">
        <v>1.67992</v>
      </c>
      <c r="AI40" s="6"/>
      <c r="AJ40" s="52"/>
    </row>
    <row x14ac:dyDescent="0.25" r="41" customHeight="1" ht="17.25">
      <c r="A41" s="11">
        <v>4411.92</v>
      </c>
      <c r="B41" s="50">
        <v>1.689545</v>
      </c>
      <c r="C41" s="51">
        <v>4410.68</v>
      </c>
      <c r="D41" s="50">
        <v>1.66695</v>
      </c>
      <c r="E41" s="51">
        <v>4410.05</v>
      </c>
      <c r="F41" s="50">
        <v>1.6736375000000001</v>
      </c>
      <c r="G41" s="51">
        <v>4411.02</v>
      </c>
      <c r="H41" s="50">
        <v>1.6793825</v>
      </c>
      <c r="I41" s="51">
        <v>4411.07</v>
      </c>
      <c r="J41" s="50">
        <v>1.67769</v>
      </c>
      <c r="K41" s="51">
        <v>4411.54</v>
      </c>
      <c r="L41" s="50">
        <v>1.6722525</v>
      </c>
      <c r="M41" s="6"/>
      <c r="N41" s="52"/>
      <c r="O41" s="51">
        <v>4410.99</v>
      </c>
      <c r="P41" s="50">
        <v>1.67479</v>
      </c>
      <c r="Q41" s="6"/>
      <c r="R41" s="52"/>
      <c r="S41" s="6"/>
      <c r="T41" s="52"/>
      <c r="U41" s="51">
        <v>4411.03</v>
      </c>
      <c r="V41" s="50">
        <v>1.6763050000000002</v>
      </c>
      <c r="W41" s="6"/>
      <c r="X41" s="52"/>
      <c r="Y41" s="6"/>
      <c r="Z41" s="52"/>
      <c r="AA41" s="51">
        <v>4411.81</v>
      </c>
      <c r="AB41" s="50">
        <v>1.6660675</v>
      </c>
      <c r="AC41" s="6"/>
      <c r="AD41" s="52"/>
      <c r="AE41" s="6"/>
      <c r="AF41" s="52"/>
      <c r="AG41" s="51">
        <v>4414.63</v>
      </c>
      <c r="AH41" s="50">
        <v>1.67117</v>
      </c>
      <c r="AI41" s="6"/>
      <c r="AJ41" s="52"/>
    </row>
    <row x14ac:dyDescent="0.25" r="42" customHeight="1" ht="17.25">
      <c r="A42" s="11">
        <v>4166.9</v>
      </c>
      <c r="B42" s="50">
        <v>1.681005</v>
      </c>
      <c r="C42" s="51">
        <v>4165.57</v>
      </c>
      <c r="D42" s="50">
        <v>1.6583</v>
      </c>
      <c r="E42" s="51">
        <v>4165.11</v>
      </c>
      <c r="F42" s="50">
        <v>1.6647375</v>
      </c>
      <c r="G42" s="51">
        <v>4165.93</v>
      </c>
      <c r="H42" s="50">
        <v>1.6709625</v>
      </c>
      <c r="I42" s="51">
        <v>4165.9</v>
      </c>
      <c r="J42" s="50">
        <v>1.66879</v>
      </c>
      <c r="K42" s="51">
        <v>4166.45</v>
      </c>
      <c r="L42" s="50">
        <v>1.6633425</v>
      </c>
      <c r="M42" s="6"/>
      <c r="N42" s="52"/>
      <c r="O42" s="51">
        <v>4165.9</v>
      </c>
      <c r="P42" s="50">
        <v>1.66594</v>
      </c>
      <c r="Q42" s="6"/>
      <c r="R42" s="52"/>
      <c r="S42" s="6"/>
      <c r="T42" s="52"/>
      <c r="U42" s="51">
        <v>4165.9</v>
      </c>
      <c r="V42" s="50">
        <v>1.667605</v>
      </c>
      <c r="W42" s="6"/>
      <c r="X42" s="52"/>
      <c r="Y42" s="6"/>
      <c r="Z42" s="52"/>
      <c r="AA42" s="51">
        <v>4166.63</v>
      </c>
      <c r="AB42" s="50">
        <v>1.6567475</v>
      </c>
      <c r="AC42" s="6"/>
      <c r="AD42" s="52"/>
      <c r="AE42" s="6"/>
      <c r="AF42" s="52"/>
      <c r="AG42" s="51">
        <v>4169.4</v>
      </c>
      <c r="AH42" s="50">
        <v>1.66202</v>
      </c>
      <c r="AI42" s="6"/>
      <c r="AJ42" s="52"/>
    </row>
    <row x14ac:dyDescent="0.25" r="43" customHeight="1" ht="17.25">
      <c r="A43" s="11">
        <v>3921.7</v>
      </c>
      <c r="B43" s="50">
        <v>1.672215</v>
      </c>
      <c r="C43" s="51">
        <v>3920.62</v>
      </c>
      <c r="D43" s="50">
        <v>1.64926</v>
      </c>
      <c r="E43" s="51">
        <v>3919.93</v>
      </c>
      <c r="F43" s="50">
        <v>1.6553975</v>
      </c>
      <c r="G43" s="51">
        <v>3920.77</v>
      </c>
      <c r="H43" s="50">
        <v>1.6619924999999998</v>
      </c>
      <c r="I43" s="51">
        <v>3920.97</v>
      </c>
      <c r="J43" s="50">
        <v>1.6593499999999999</v>
      </c>
      <c r="K43" s="51">
        <v>3921.39</v>
      </c>
      <c r="L43" s="50">
        <v>1.6539625</v>
      </c>
      <c r="M43" s="6"/>
      <c r="N43" s="52"/>
      <c r="O43" s="51">
        <v>3920.93</v>
      </c>
      <c r="P43" s="50">
        <v>1.65659</v>
      </c>
      <c r="Q43" s="6"/>
      <c r="R43" s="52"/>
      <c r="S43" s="6"/>
      <c r="T43" s="52"/>
      <c r="U43" s="51">
        <v>3920.83</v>
      </c>
      <c r="V43" s="50">
        <v>1.6582949999999999</v>
      </c>
      <c r="W43" s="6"/>
      <c r="X43" s="52"/>
      <c r="Y43" s="6"/>
      <c r="Z43" s="52"/>
      <c r="AA43" s="51">
        <v>3921.48</v>
      </c>
      <c r="AB43" s="50">
        <v>1.6469175</v>
      </c>
      <c r="AC43" s="6"/>
      <c r="AD43" s="52"/>
      <c r="AE43" s="6"/>
      <c r="AF43" s="52"/>
      <c r="AG43" s="51">
        <v>3924.18</v>
      </c>
      <c r="AH43" s="50">
        <v>1.65221</v>
      </c>
      <c r="AI43" s="6"/>
      <c r="AJ43" s="52"/>
    </row>
    <row x14ac:dyDescent="0.25" r="44" customHeight="1" ht="17.25">
      <c r="A44" s="11">
        <v>3676.52</v>
      </c>
      <c r="B44" s="50">
        <v>1.662825</v>
      </c>
      <c r="C44" s="51">
        <v>3675.52</v>
      </c>
      <c r="D44" s="50">
        <v>1.63958</v>
      </c>
      <c r="E44" s="51">
        <v>3674.85</v>
      </c>
      <c r="F44" s="50">
        <v>1.6454375</v>
      </c>
      <c r="G44" s="51">
        <v>3675.75</v>
      </c>
      <c r="H44" s="50">
        <v>1.6525225</v>
      </c>
      <c r="I44" s="51">
        <v>3675.84</v>
      </c>
      <c r="J44" s="50">
        <v>1.6494799999999998</v>
      </c>
      <c r="K44" s="51">
        <v>3676.3</v>
      </c>
      <c r="L44" s="50">
        <v>1.6440125</v>
      </c>
      <c r="M44" s="6"/>
      <c r="N44" s="52"/>
      <c r="O44" s="51">
        <v>3675.86</v>
      </c>
      <c r="P44" s="50">
        <v>1.6467100000000001</v>
      </c>
      <c r="Q44" s="6"/>
      <c r="R44" s="52"/>
      <c r="S44" s="6"/>
      <c r="T44" s="52"/>
      <c r="U44" s="51">
        <v>3675.74</v>
      </c>
      <c r="V44" s="50">
        <v>1.648405</v>
      </c>
      <c r="W44" s="6"/>
      <c r="X44" s="52"/>
      <c r="Y44" s="6"/>
      <c r="Z44" s="52"/>
      <c r="AA44" s="51">
        <v>3676.49</v>
      </c>
      <c r="AB44" s="50">
        <v>1.6363975</v>
      </c>
      <c r="AC44" s="6"/>
      <c r="AD44" s="52"/>
      <c r="AE44" s="6"/>
      <c r="AF44" s="52"/>
      <c r="AG44" s="51">
        <v>3678.88</v>
      </c>
      <c r="AH44" s="50">
        <v>1.64202</v>
      </c>
      <c r="AI44" s="6"/>
      <c r="AJ44" s="52"/>
    </row>
    <row x14ac:dyDescent="0.25" r="45" customHeight="1" ht="17.25">
      <c r="A45" s="11">
        <v>3431.4</v>
      </c>
      <c r="B45" s="50">
        <v>1.652945</v>
      </c>
      <c r="C45" s="51">
        <v>3430.45</v>
      </c>
      <c r="D45" s="50">
        <v>1.6291900000000001</v>
      </c>
      <c r="E45" s="51">
        <v>3429.89</v>
      </c>
      <c r="F45" s="50">
        <v>1.6347175</v>
      </c>
      <c r="G45" s="51">
        <v>3430.7</v>
      </c>
      <c r="H45" s="50">
        <v>1.6424625000000002</v>
      </c>
      <c r="I45" s="51">
        <v>3430.75</v>
      </c>
      <c r="J45" s="50">
        <v>1.6388099999999999</v>
      </c>
      <c r="K45" s="51">
        <v>3431.24</v>
      </c>
      <c r="L45" s="50">
        <v>1.6334025</v>
      </c>
      <c r="M45" s="6"/>
      <c r="N45" s="52"/>
      <c r="O45" s="51">
        <v>3430.72</v>
      </c>
      <c r="P45" s="50">
        <v>1.63603</v>
      </c>
      <c r="Q45" s="6"/>
      <c r="R45" s="52"/>
      <c r="S45" s="6"/>
      <c r="T45" s="52"/>
      <c r="U45" s="51">
        <v>3430.74</v>
      </c>
      <c r="V45" s="50">
        <v>1.637995</v>
      </c>
      <c r="W45" s="6"/>
      <c r="X45" s="52"/>
      <c r="Y45" s="6"/>
      <c r="Z45" s="52"/>
      <c r="AA45" s="51">
        <v>3431.38</v>
      </c>
      <c r="AB45" s="50">
        <v>1.6251175</v>
      </c>
      <c r="AC45" s="6"/>
      <c r="AD45" s="52"/>
      <c r="AE45" s="6"/>
      <c r="AF45" s="52"/>
      <c r="AG45" s="51">
        <v>3433.63</v>
      </c>
      <c r="AH45" s="50">
        <v>1.63111</v>
      </c>
      <c r="AI45" s="6"/>
      <c r="AJ45" s="52"/>
    </row>
    <row x14ac:dyDescent="0.25" r="46" customHeight="1" ht="17.25">
      <c r="A46" s="11">
        <v>3186.26</v>
      </c>
      <c r="B46" s="50">
        <v>1.642295</v>
      </c>
      <c r="C46" s="51">
        <v>3185.42</v>
      </c>
      <c r="D46" s="50">
        <v>1.61816</v>
      </c>
      <c r="E46" s="51">
        <v>3184.89</v>
      </c>
      <c r="F46" s="50">
        <v>1.6230875</v>
      </c>
      <c r="G46" s="51">
        <v>3185.59</v>
      </c>
      <c r="H46" s="50">
        <v>1.6317624999999998</v>
      </c>
      <c r="I46" s="51">
        <v>3185.72</v>
      </c>
      <c r="J46" s="50">
        <v>1.6272799999999998</v>
      </c>
      <c r="K46" s="51">
        <v>3186.04</v>
      </c>
      <c r="L46" s="50">
        <v>1.6218425</v>
      </c>
      <c r="M46" s="6"/>
      <c r="N46" s="52"/>
      <c r="O46" s="51">
        <v>3185.62</v>
      </c>
      <c r="P46" s="50">
        <v>1.62452</v>
      </c>
      <c r="Q46" s="6"/>
      <c r="R46" s="52"/>
      <c r="S46" s="6"/>
      <c r="T46" s="52"/>
      <c r="U46" s="51">
        <v>3185.59</v>
      </c>
      <c r="V46" s="50">
        <v>1.6267650000000002</v>
      </c>
      <c r="W46" s="6"/>
      <c r="X46" s="52"/>
      <c r="Y46" s="6"/>
      <c r="Z46" s="52"/>
      <c r="AA46" s="51">
        <v>3186.21</v>
      </c>
      <c r="AB46" s="50">
        <v>1.6129775</v>
      </c>
      <c r="AC46" s="6"/>
      <c r="AD46" s="52"/>
      <c r="AE46" s="6"/>
      <c r="AF46" s="52"/>
      <c r="AG46" s="51">
        <v>3188.35</v>
      </c>
      <c r="AH46" s="50">
        <v>1.6193</v>
      </c>
      <c r="AI46" s="6"/>
      <c r="AJ46" s="52"/>
    </row>
    <row x14ac:dyDescent="0.25" r="47" customHeight="1" ht="17.25">
      <c r="A47" s="11">
        <v>2941.15</v>
      </c>
      <c r="B47" s="50">
        <v>1.6308850000000001</v>
      </c>
      <c r="C47" s="51">
        <v>2940.4</v>
      </c>
      <c r="D47" s="50">
        <v>1.60607</v>
      </c>
      <c r="E47" s="51">
        <v>2939.91</v>
      </c>
      <c r="F47" s="50">
        <v>1.6104175</v>
      </c>
      <c r="G47" s="51">
        <v>2940.52</v>
      </c>
      <c r="H47" s="50">
        <v>1.6202625</v>
      </c>
      <c r="I47" s="51">
        <v>2940.71</v>
      </c>
      <c r="J47" s="50">
        <v>1.61462</v>
      </c>
      <c r="K47" s="51">
        <v>2940.98</v>
      </c>
      <c r="L47" s="50">
        <v>1.6093125</v>
      </c>
      <c r="M47" s="6"/>
      <c r="N47" s="52"/>
      <c r="O47" s="51">
        <v>2940.52</v>
      </c>
      <c r="P47" s="50">
        <v>1.6121</v>
      </c>
      <c r="Q47" s="6"/>
      <c r="R47" s="52"/>
      <c r="S47" s="6"/>
      <c r="T47" s="52"/>
      <c r="U47" s="51">
        <v>2940.57</v>
      </c>
      <c r="V47" s="50">
        <v>1.614605</v>
      </c>
      <c r="W47" s="6"/>
      <c r="X47" s="52"/>
      <c r="Y47" s="6"/>
      <c r="Z47" s="52"/>
      <c r="AA47" s="51">
        <v>2941.07</v>
      </c>
      <c r="AB47" s="50">
        <v>1.5995875</v>
      </c>
      <c r="AC47" s="6"/>
      <c r="AD47" s="52"/>
      <c r="AE47" s="6"/>
      <c r="AF47" s="52"/>
      <c r="AG47" s="51">
        <v>2943.08</v>
      </c>
      <c r="AH47" s="50">
        <v>1.60644</v>
      </c>
      <c r="AI47" s="6"/>
      <c r="AJ47" s="52"/>
    </row>
    <row x14ac:dyDescent="0.25" r="48" customHeight="1" ht="17.25">
      <c r="A48" s="11">
        <v>2696.06</v>
      </c>
      <c r="B48" s="50">
        <v>1.6184850000000002</v>
      </c>
      <c r="C48" s="51">
        <v>2695.34</v>
      </c>
      <c r="D48" s="50">
        <v>1.59277</v>
      </c>
      <c r="E48" s="51">
        <v>2694.87</v>
      </c>
      <c r="F48" s="50">
        <v>1.5963975000000001</v>
      </c>
      <c r="G48" s="51">
        <v>2695.43</v>
      </c>
      <c r="H48" s="50">
        <v>1.6075125</v>
      </c>
      <c r="I48" s="51">
        <v>2695.65</v>
      </c>
      <c r="J48" s="50">
        <v>1.6005099999999999</v>
      </c>
      <c r="K48" s="51">
        <v>2695.87</v>
      </c>
      <c r="L48" s="50">
        <v>1.5954725</v>
      </c>
      <c r="M48" s="6"/>
      <c r="N48" s="52"/>
      <c r="O48" s="51">
        <v>2695.44</v>
      </c>
      <c r="P48" s="50">
        <v>1.5983100000000001</v>
      </c>
      <c r="Q48" s="6"/>
      <c r="R48" s="52"/>
      <c r="S48" s="6"/>
      <c r="T48" s="52"/>
      <c r="U48" s="51">
        <v>2695.5</v>
      </c>
      <c r="V48" s="50">
        <v>1.6012050000000002</v>
      </c>
      <c r="W48" s="6"/>
      <c r="X48" s="52"/>
      <c r="Y48" s="6"/>
      <c r="Z48" s="52"/>
      <c r="AA48" s="51">
        <v>2696.03</v>
      </c>
      <c r="AB48" s="50">
        <v>1.5846575</v>
      </c>
      <c r="AC48" s="6"/>
      <c r="AD48" s="52"/>
      <c r="AE48" s="6"/>
      <c r="AF48" s="52"/>
      <c r="AG48" s="51">
        <v>2697.77</v>
      </c>
      <c r="AH48" s="50">
        <v>1.59219</v>
      </c>
      <c r="AI48" s="6"/>
      <c r="AJ48" s="52"/>
    </row>
    <row x14ac:dyDescent="0.25" r="49" customHeight="1" ht="17.25">
      <c r="A49" s="11">
        <v>2450.87</v>
      </c>
      <c r="B49" s="50">
        <v>1.604765</v>
      </c>
      <c r="C49" s="51">
        <v>2450.19</v>
      </c>
      <c r="D49" s="50">
        <v>1.5779</v>
      </c>
      <c r="E49" s="51">
        <v>2449.78</v>
      </c>
      <c r="F49" s="50">
        <v>1.5805175</v>
      </c>
      <c r="G49" s="51">
        <v>2450.33</v>
      </c>
      <c r="H49" s="50">
        <v>1.5933424999999999</v>
      </c>
      <c r="I49" s="51">
        <v>2450.51</v>
      </c>
      <c r="J49" s="50">
        <v>1.58462</v>
      </c>
      <c r="K49" s="51">
        <v>2450.75</v>
      </c>
      <c r="L49" s="50">
        <v>1.5798225000000001</v>
      </c>
      <c r="M49" s="6"/>
      <c r="N49" s="52"/>
      <c r="O49" s="51">
        <v>2450.39</v>
      </c>
      <c r="P49" s="50">
        <v>1.58285</v>
      </c>
      <c r="Q49" s="6"/>
      <c r="R49" s="52"/>
      <c r="S49" s="6"/>
      <c r="T49" s="52"/>
      <c r="U49" s="51">
        <v>2450.46</v>
      </c>
      <c r="V49" s="50">
        <v>1.5861550000000002</v>
      </c>
      <c r="W49" s="6"/>
      <c r="X49" s="52"/>
      <c r="Y49" s="6"/>
      <c r="Z49" s="52"/>
      <c r="AA49" s="51">
        <v>2450.81</v>
      </c>
      <c r="AB49" s="50">
        <v>1.5676975</v>
      </c>
      <c r="AC49" s="6"/>
      <c r="AD49" s="52"/>
      <c r="AE49" s="6"/>
      <c r="AF49" s="52"/>
      <c r="AG49" s="51">
        <v>2452.47</v>
      </c>
      <c r="AH49" s="50">
        <v>1.57611</v>
      </c>
      <c r="AI49" s="6"/>
      <c r="AJ49" s="52"/>
    </row>
    <row x14ac:dyDescent="0.25" r="50" customHeight="1" ht="17.25">
      <c r="A50" s="11">
        <v>2205.77</v>
      </c>
      <c r="B50" s="50">
        <v>1.589315</v>
      </c>
      <c r="C50" s="51">
        <v>2205.24</v>
      </c>
      <c r="D50" s="50">
        <v>1.56097</v>
      </c>
      <c r="E50" s="51">
        <v>2204.85</v>
      </c>
      <c r="F50" s="50">
        <v>1.5623175</v>
      </c>
      <c r="G50" s="51">
        <v>2205.18</v>
      </c>
      <c r="H50" s="50">
        <v>1.5774525000000001</v>
      </c>
      <c r="I50" s="51">
        <v>2205.46</v>
      </c>
      <c r="J50" s="50">
        <v>1.56628</v>
      </c>
      <c r="K50" s="51">
        <v>2205.66</v>
      </c>
      <c r="L50" s="50">
        <v>1.5617825</v>
      </c>
      <c r="M50" s="6"/>
      <c r="N50" s="52"/>
      <c r="O50" s="51">
        <v>2205.31</v>
      </c>
      <c r="P50" s="50">
        <v>1.56505</v>
      </c>
      <c r="Q50" s="6"/>
      <c r="R50" s="52"/>
      <c r="S50" s="6"/>
      <c r="T50" s="52"/>
      <c r="U50" s="51">
        <v>2205.32</v>
      </c>
      <c r="V50" s="50">
        <v>1.568985</v>
      </c>
      <c r="W50" s="6"/>
      <c r="X50" s="52"/>
      <c r="Y50" s="6"/>
      <c r="Z50" s="52"/>
      <c r="AA50" s="51">
        <v>2205.71</v>
      </c>
      <c r="AB50" s="50">
        <v>1.5480275</v>
      </c>
      <c r="AC50" s="6"/>
      <c r="AD50" s="52"/>
      <c r="AE50" s="6"/>
      <c r="AF50" s="52"/>
      <c r="AG50" s="51">
        <v>2207.24</v>
      </c>
      <c r="AH50" s="50">
        <v>1.55759</v>
      </c>
      <c r="AI50" s="6"/>
      <c r="AJ50" s="52"/>
    </row>
    <row x14ac:dyDescent="0.25" r="51" customHeight="1" ht="17.25">
      <c r="A51" s="11">
        <v>1960.67</v>
      </c>
      <c r="B51" s="50">
        <v>1.571545</v>
      </c>
      <c r="C51" s="51">
        <v>1960.22</v>
      </c>
      <c r="D51" s="50">
        <v>1.54119</v>
      </c>
      <c r="E51" s="51">
        <v>1959.87</v>
      </c>
      <c r="F51" s="50">
        <v>1.5405375000000001</v>
      </c>
      <c r="G51" s="51">
        <v>1960.27</v>
      </c>
      <c r="H51" s="50">
        <v>1.5589525000000002</v>
      </c>
      <c r="I51" s="51">
        <v>1960.46</v>
      </c>
      <c r="J51" s="50">
        <v>1.54466</v>
      </c>
      <c r="K51" s="51">
        <v>1960.61</v>
      </c>
      <c r="L51" s="50">
        <v>1.5406225</v>
      </c>
      <c r="M51" s="6"/>
      <c r="N51" s="52"/>
      <c r="O51" s="51">
        <v>1960.3</v>
      </c>
      <c r="P51" s="50">
        <v>1.5441</v>
      </c>
      <c r="Q51" s="6"/>
      <c r="R51" s="52"/>
      <c r="S51" s="6"/>
      <c r="T51" s="52"/>
      <c r="U51" s="51">
        <v>1960.32</v>
      </c>
      <c r="V51" s="50">
        <v>1.548845</v>
      </c>
      <c r="W51" s="6"/>
      <c r="X51" s="52"/>
      <c r="Y51" s="6"/>
      <c r="Z51" s="52"/>
      <c r="AA51" s="51">
        <v>1960.7</v>
      </c>
      <c r="AB51" s="50">
        <v>1.5246374999999999</v>
      </c>
      <c r="AC51" s="6"/>
      <c r="AD51" s="52"/>
      <c r="AE51" s="6"/>
      <c r="AF51" s="52"/>
      <c r="AG51" s="51">
        <v>1962.07</v>
      </c>
      <c r="AH51" s="50">
        <v>1.53569</v>
      </c>
      <c r="AI51" s="6"/>
      <c r="AJ51" s="52"/>
    </row>
    <row x14ac:dyDescent="0.25" r="52" customHeight="1" ht="17.25">
      <c r="A52" s="11">
        <v>1715.6</v>
      </c>
      <c r="B52" s="50">
        <v>1.5503550000000001</v>
      </c>
      <c r="C52" s="51">
        <v>1715.23</v>
      </c>
      <c r="D52" s="50">
        <v>1.51699</v>
      </c>
      <c r="E52" s="51">
        <v>1714.85</v>
      </c>
      <c r="F52" s="50">
        <v>1.5137775</v>
      </c>
      <c r="G52" s="51">
        <v>1715.17</v>
      </c>
      <c r="H52" s="50">
        <v>1.5367525</v>
      </c>
      <c r="I52" s="51">
        <v>1715.36</v>
      </c>
      <c r="J52" s="50">
        <v>1.5181</v>
      </c>
      <c r="K52" s="51">
        <v>1715.55</v>
      </c>
      <c r="L52" s="50">
        <v>1.5148725</v>
      </c>
      <c r="M52" s="6"/>
      <c r="N52" s="52"/>
      <c r="O52" s="51">
        <v>1715.24</v>
      </c>
      <c r="P52" s="50">
        <v>1.5187000000000002</v>
      </c>
      <c r="Q52" s="6"/>
      <c r="R52" s="52"/>
      <c r="S52" s="6"/>
      <c r="T52" s="52"/>
      <c r="U52" s="51">
        <v>1715.23</v>
      </c>
      <c r="V52" s="50">
        <v>1.524315</v>
      </c>
      <c r="W52" s="6"/>
      <c r="X52" s="52"/>
      <c r="Y52" s="6"/>
      <c r="Z52" s="52"/>
      <c r="AA52" s="51">
        <v>1715.61</v>
      </c>
      <c r="AB52" s="50">
        <v>1.4957075</v>
      </c>
      <c r="AC52" s="6"/>
      <c r="AD52" s="52"/>
      <c r="AE52" s="6"/>
      <c r="AF52" s="52"/>
      <c r="AG52" s="51">
        <v>1716.81</v>
      </c>
      <c r="AH52" s="50">
        <v>1.50889</v>
      </c>
      <c r="AI52" s="6"/>
      <c r="AJ52" s="52"/>
    </row>
    <row x14ac:dyDescent="0.25" r="53" customHeight="1" ht="17.25">
      <c r="A53" s="11">
        <v>1470.46</v>
      </c>
      <c r="B53" s="50">
        <v>1.524095</v>
      </c>
      <c r="C53" s="51">
        <v>1470.1</v>
      </c>
      <c r="D53" s="50">
        <v>1.48644</v>
      </c>
      <c r="E53" s="51">
        <v>1469.77</v>
      </c>
      <c r="F53" s="50">
        <v>1.4794275000000001</v>
      </c>
      <c r="G53" s="51">
        <v>1470.1</v>
      </c>
      <c r="H53" s="50">
        <v>1.5089925000000002</v>
      </c>
      <c r="I53" s="51">
        <v>1470.32</v>
      </c>
      <c r="J53" s="50">
        <v>1.4841799999999998</v>
      </c>
      <c r="K53" s="51">
        <v>1470.42</v>
      </c>
      <c r="L53" s="50">
        <v>1.4819525</v>
      </c>
      <c r="M53" s="6"/>
      <c r="N53" s="52"/>
      <c r="O53" s="51">
        <v>1470.11</v>
      </c>
      <c r="P53" s="50">
        <v>1.4863300000000002</v>
      </c>
      <c r="Q53" s="6"/>
      <c r="R53" s="52"/>
      <c r="S53" s="6"/>
      <c r="T53" s="52"/>
      <c r="U53" s="51">
        <v>1470.1</v>
      </c>
      <c r="V53" s="50">
        <v>1.4932150000000002</v>
      </c>
      <c r="W53" s="6"/>
      <c r="X53" s="52"/>
      <c r="Y53" s="6"/>
      <c r="Z53" s="52"/>
      <c r="AA53" s="51">
        <v>1470.46</v>
      </c>
      <c r="AB53" s="50">
        <v>1.4586575</v>
      </c>
      <c r="AC53" s="6"/>
      <c r="AD53" s="52"/>
      <c r="AE53" s="6"/>
      <c r="AF53" s="52"/>
      <c r="AG53" s="51">
        <v>1471.51</v>
      </c>
      <c r="AH53" s="50">
        <v>1.47465</v>
      </c>
      <c r="AI53" s="6"/>
      <c r="AJ53" s="52"/>
    </row>
    <row x14ac:dyDescent="0.25" r="54" customHeight="1" ht="17.25">
      <c r="A54" s="11">
        <v>1225.36</v>
      </c>
      <c r="B54" s="50">
        <v>1.489425</v>
      </c>
      <c r="C54" s="51">
        <v>1225.07</v>
      </c>
      <c r="D54" s="50">
        <v>1.44573</v>
      </c>
      <c r="E54" s="51">
        <v>1224.76</v>
      </c>
      <c r="F54" s="50">
        <v>1.4334375000000001</v>
      </c>
      <c r="G54" s="51">
        <v>1225.05</v>
      </c>
      <c r="H54" s="50">
        <v>1.4724125</v>
      </c>
      <c r="I54" s="51">
        <v>1225.24</v>
      </c>
      <c r="J54" s="50">
        <v>1.4386999999999999</v>
      </c>
      <c r="K54" s="51">
        <v>1225.34</v>
      </c>
      <c r="L54" s="50">
        <v>1.4380725</v>
      </c>
      <c r="M54" s="6"/>
      <c r="N54" s="52"/>
      <c r="O54" s="51">
        <v>1225.06</v>
      </c>
      <c r="P54" s="50">
        <v>1.44333</v>
      </c>
      <c r="Q54" s="6"/>
      <c r="R54" s="52"/>
      <c r="S54" s="6"/>
      <c r="T54" s="52"/>
      <c r="U54" s="51">
        <v>1225.06</v>
      </c>
      <c r="V54" s="50">
        <v>1.451645</v>
      </c>
      <c r="W54" s="6"/>
      <c r="X54" s="52"/>
      <c r="Y54" s="6"/>
      <c r="Z54" s="52"/>
      <c r="AA54" s="51">
        <v>1225.34</v>
      </c>
      <c r="AB54" s="50">
        <v>1.4091675</v>
      </c>
      <c r="AC54" s="6"/>
      <c r="AD54" s="52"/>
      <c r="AE54" s="6"/>
      <c r="AF54" s="52"/>
      <c r="AG54" s="51">
        <v>1226.24</v>
      </c>
      <c r="AH54" s="50">
        <v>1.42863</v>
      </c>
      <c r="AI54" s="6"/>
      <c r="AJ54" s="52"/>
    </row>
    <row x14ac:dyDescent="0.25" r="55" customHeight="1" ht="17.25">
      <c r="A55" s="11">
        <v>980.23</v>
      </c>
      <c r="B55" s="50">
        <v>1.440145</v>
      </c>
      <c r="C55" s="51">
        <v>980.096</v>
      </c>
      <c r="D55" s="50">
        <v>1.38841</v>
      </c>
      <c r="E55" s="51">
        <v>979.755</v>
      </c>
      <c r="F55" s="50">
        <v>1.3691375000000001</v>
      </c>
      <c r="G55" s="51">
        <v>980.001</v>
      </c>
      <c r="H55" s="50">
        <v>1.4206024999999998</v>
      </c>
      <c r="I55" s="51">
        <v>980.217</v>
      </c>
      <c r="J55" s="50">
        <v>1.37523</v>
      </c>
      <c r="K55" s="51">
        <v>980.256</v>
      </c>
      <c r="L55" s="50">
        <v>1.3764525</v>
      </c>
      <c r="M55" s="6"/>
      <c r="N55" s="52"/>
      <c r="O55" s="51">
        <v>979.992</v>
      </c>
      <c r="P55" s="50">
        <v>1.38301</v>
      </c>
      <c r="Q55" s="6"/>
      <c r="R55" s="52"/>
      <c r="S55" s="6"/>
      <c r="T55" s="52"/>
      <c r="U55" s="51">
        <v>980.015</v>
      </c>
      <c r="V55" s="50">
        <v>1.392805</v>
      </c>
      <c r="W55" s="6"/>
      <c r="X55" s="52"/>
      <c r="Y55" s="6"/>
      <c r="Z55" s="52"/>
      <c r="AA55" s="51">
        <v>980.256</v>
      </c>
      <c r="AB55" s="50">
        <v>1.3401775</v>
      </c>
      <c r="AC55" s="6"/>
      <c r="AD55" s="52"/>
      <c r="AE55" s="6"/>
      <c r="AF55" s="52"/>
      <c r="AG55" s="51">
        <v>980.991</v>
      </c>
      <c r="AH55" s="50">
        <v>1.36361</v>
      </c>
      <c r="AI55" s="6"/>
      <c r="AJ55" s="52"/>
    </row>
    <row x14ac:dyDescent="0.25" r="56" customHeight="1" ht="17.25">
      <c r="A56" s="11">
        <v>735.076</v>
      </c>
      <c r="B56" s="50">
        <v>1.3641450000000002</v>
      </c>
      <c r="C56" s="51">
        <v>734.99</v>
      </c>
      <c r="D56" s="50">
        <v>1.30309</v>
      </c>
      <c r="E56" s="51">
        <v>734.686</v>
      </c>
      <c r="F56" s="50">
        <v>1.2761475</v>
      </c>
      <c r="G56" s="51">
        <v>734.896</v>
      </c>
      <c r="H56" s="50">
        <v>1.3419625000000002</v>
      </c>
      <c r="I56" s="51">
        <v>735.104</v>
      </c>
      <c r="J56" s="50">
        <v>1.28351</v>
      </c>
      <c r="K56" s="51">
        <v>735.119</v>
      </c>
      <c r="L56" s="50">
        <v>1.2859625000000001</v>
      </c>
      <c r="M56" s="6"/>
      <c r="N56" s="52"/>
      <c r="O56" s="51">
        <v>734.893</v>
      </c>
      <c r="P56" s="50">
        <v>1.29404</v>
      </c>
      <c r="Q56" s="6"/>
      <c r="R56" s="52"/>
      <c r="S56" s="6"/>
      <c r="T56" s="52"/>
      <c r="U56" s="51">
        <v>734.914</v>
      </c>
      <c r="V56" s="50">
        <v>1.3049149999999998</v>
      </c>
      <c r="W56" s="6"/>
      <c r="X56" s="52"/>
      <c r="Y56" s="6"/>
      <c r="Z56" s="52"/>
      <c r="AA56" s="51">
        <v>735.106</v>
      </c>
      <c r="AB56" s="50">
        <v>1.2412375</v>
      </c>
      <c r="AC56" s="6"/>
      <c r="AD56" s="52"/>
      <c r="AE56" s="6"/>
      <c r="AF56" s="52"/>
      <c r="AG56" s="51">
        <v>735.714</v>
      </c>
      <c r="AH56" s="50">
        <v>1.26849</v>
      </c>
      <c r="AI56" s="6"/>
      <c r="AJ56" s="52"/>
    </row>
    <row x14ac:dyDescent="0.25" r="57" customHeight="1" ht="17.25">
      <c r="A57" s="11">
        <v>489.984</v>
      </c>
      <c r="B57" s="50">
        <v>1.2402250000000001</v>
      </c>
      <c r="C57" s="51">
        <v>489.963</v>
      </c>
      <c r="D57" s="50">
        <v>1.17349</v>
      </c>
      <c r="E57" s="51">
        <v>489.677</v>
      </c>
      <c r="F57" s="50">
        <v>1.1410875</v>
      </c>
      <c r="G57" s="51">
        <v>489.812</v>
      </c>
      <c r="H57" s="50">
        <v>1.2171124999999998</v>
      </c>
      <c r="I57" s="51">
        <v>490.05</v>
      </c>
      <c r="J57" s="50">
        <v>1.1501899999999998</v>
      </c>
      <c r="K57" s="51">
        <v>490.028</v>
      </c>
      <c r="L57" s="50">
        <v>1.1516725</v>
      </c>
      <c r="M57" s="6"/>
      <c r="N57" s="52"/>
      <c r="O57" s="51">
        <v>489.843</v>
      </c>
      <c r="P57" s="50">
        <v>1.15955</v>
      </c>
      <c r="Q57" s="6"/>
      <c r="R57" s="52"/>
      <c r="S57" s="6"/>
      <c r="T57" s="52"/>
      <c r="U57" s="51">
        <v>489.86</v>
      </c>
      <c r="V57" s="50">
        <v>1.1698650000000002</v>
      </c>
      <c r="W57" s="6"/>
      <c r="X57" s="52"/>
      <c r="Y57" s="6"/>
      <c r="Z57" s="52"/>
      <c r="AA57" s="51">
        <v>489.996</v>
      </c>
      <c r="AB57" s="50">
        <v>1.0999675</v>
      </c>
      <c r="AC57" s="6"/>
      <c r="AD57" s="52"/>
      <c r="AE57" s="6"/>
      <c r="AF57" s="52"/>
      <c r="AG57" s="51">
        <v>490.444</v>
      </c>
      <c r="AH57" s="50">
        <v>1.12857</v>
      </c>
      <c r="AI57" s="6"/>
      <c r="AJ57" s="52"/>
    </row>
    <row x14ac:dyDescent="0.25" r="58" customHeight="1" ht="17.25">
      <c r="A58" s="11">
        <v>244.882</v>
      </c>
      <c r="B58" s="50">
        <v>1.042395</v>
      </c>
      <c r="C58" s="51">
        <v>244.963</v>
      </c>
      <c r="D58" s="50">
        <v>0.981929</v>
      </c>
      <c r="E58" s="51">
        <v>244.675</v>
      </c>
      <c r="F58" s="50">
        <v>0.9490885</v>
      </c>
      <c r="G58" s="51">
        <v>244.789</v>
      </c>
      <c r="H58" s="50">
        <v>1.0226025</v>
      </c>
      <c r="I58" s="51">
        <v>244.984</v>
      </c>
      <c r="J58" s="50">
        <v>0.9598269999999999</v>
      </c>
      <c r="K58" s="51">
        <v>244.95</v>
      </c>
      <c r="L58" s="50">
        <v>0.9585475</v>
      </c>
      <c r="M58" s="6"/>
      <c r="N58" s="52"/>
      <c r="O58" s="51">
        <v>244.81</v>
      </c>
      <c r="P58" s="50">
        <v>0.9598490000000001</v>
      </c>
      <c r="Q58" s="6"/>
      <c r="R58" s="52"/>
      <c r="S58" s="6"/>
      <c r="T58" s="52"/>
      <c r="U58" s="51">
        <v>244.821</v>
      </c>
      <c r="V58" s="50">
        <v>0.966696</v>
      </c>
      <c r="W58" s="6"/>
      <c r="X58" s="52"/>
      <c r="Y58" s="6"/>
      <c r="Z58" s="52"/>
      <c r="AA58" s="51">
        <v>244.898</v>
      </c>
      <c r="AB58" s="50">
        <v>0.9037894999999999</v>
      </c>
      <c r="AC58" s="6"/>
      <c r="AD58" s="52"/>
      <c r="AE58" s="6"/>
      <c r="AF58" s="52"/>
      <c r="AG58" s="51">
        <v>245.195</v>
      </c>
      <c r="AH58" s="50">
        <v>0.929258</v>
      </c>
      <c r="AI58" s="6"/>
      <c r="AJ58" s="52"/>
    </row>
    <row x14ac:dyDescent="0.25" r="59" customHeight="1" ht="17.25">
      <c r="A59" s="11">
        <v>122.331</v>
      </c>
      <c r="B59" s="50">
        <v>0.9082020000000001</v>
      </c>
      <c r="C59" s="51">
        <v>122.438</v>
      </c>
      <c r="D59" s="50">
        <v>0.856858</v>
      </c>
      <c r="E59" s="51">
        <v>122.159</v>
      </c>
      <c r="F59" s="50">
        <v>0.8252255000000001</v>
      </c>
      <c r="G59" s="51">
        <v>122.262</v>
      </c>
      <c r="H59" s="50">
        <v>0.8921675</v>
      </c>
      <c r="I59" s="51">
        <v>122.45</v>
      </c>
      <c r="J59" s="50">
        <v>0.8361279999999999</v>
      </c>
      <c r="K59" s="51">
        <v>122.418</v>
      </c>
      <c r="L59" s="50">
        <v>0.8343105000000001</v>
      </c>
      <c r="M59" s="6"/>
      <c r="N59" s="52"/>
      <c r="O59" s="51">
        <v>122.278</v>
      </c>
      <c r="P59" s="50">
        <v>0.827616</v>
      </c>
      <c r="Q59" s="6"/>
      <c r="R59" s="52"/>
      <c r="S59" s="6"/>
      <c r="T59" s="52"/>
      <c r="U59" s="51">
        <v>122.279</v>
      </c>
      <c r="V59" s="50">
        <v>0.831028</v>
      </c>
      <c r="W59" s="6"/>
      <c r="X59" s="52"/>
      <c r="Y59" s="6"/>
      <c r="Z59" s="52"/>
      <c r="AA59" s="51">
        <v>122.349</v>
      </c>
      <c r="AB59" s="50">
        <v>0.7791984999999999</v>
      </c>
      <c r="AC59" s="6"/>
      <c r="AD59" s="52"/>
      <c r="AE59" s="6"/>
      <c r="AF59" s="52"/>
      <c r="AG59" s="51">
        <v>122.567</v>
      </c>
      <c r="AH59" s="50">
        <v>0.800555</v>
      </c>
      <c r="AI59" s="6"/>
      <c r="AJ59" s="52"/>
    </row>
    <row x14ac:dyDescent="0.25" r="60" customHeight="1" ht="17.25">
      <c r="A60" s="11">
        <v>61.0038</v>
      </c>
      <c r="B60" s="50">
        <v>0.829686</v>
      </c>
      <c r="C60" s="51">
        <v>61.2678</v>
      </c>
      <c r="D60" s="50">
        <v>0.784319</v>
      </c>
      <c r="E60" s="51">
        <v>60.8731</v>
      </c>
      <c r="F60" s="50">
        <v>0.7532455</v>
      </c>
      <c r="G60" s="51">
        <v>60.9688</v>
      </c>
      <c r="H60" s="50">
        <v>0.8159725</v>
      </c>
      <c r="I60" s="51">
        <v>61.1473</v>
      </c>
      <c r="J60" s="50">
        <v>0.7639559999999999</v>
      </c>
      <c r="K60" s="51">
        <v>61.1185</v>
      </c>
      <c r="L60" s="50">
        <v>0.7624985000000001</v>
      </c>
      <c r="M60" s="6"/>
      <c r="N60" s="52"/>
      <c r="O60" s="51">
        <v>60.9902</v>
      </c>
      <c r="P60" s="50">
        <v>0.749832</v>
      </c>
      <c r="Q60" s="6"/>
      <c r="R60" s="52"/>
      <c r="S60" s="6"/>
      <c r="T60" s="52"/>
      <c r="U60" s="51">
        <v>60.9946</v>
      </c>
      <c r="V60" s="50">
        <v>0.750861</v>
      </c>
      <c r="W60" s="6"/>
      <c r="X60" s="52"/>
      <c r="Y60" s="6"/>
      <c r="Z60" s="52"/>
      <c r="AA60" s="51">
        <v>61.0372</v>
      </c>
      <c r="AB60" s="50">
        <v>0.7069605</v>
      </c>
      <c r="AC60" s="6"/>
      <c r="AD60" s="52"/>
      <c r="AE60" s="6"/>
      <c r="AF60" s="52"/>
      <c r="AG60" s="51">
        <v>61.2151</v>
      </c>
      <c r="AH60" s="50">
        <v>0.725467</v>
      </c>
      <c r="AI60" s="6"/>
      <c r="AJ60" s="52"/>
    </row>
    <row x14ac:dyDescent="0.25" r="61" customHeight="1" ht="17.25">
      <c r="A61" s="11">
        <v>30.386</v>
      </c>
      <c r="B61" s="50">
        <v>0.7868710000000001</v>
      </c>
      <c r="C61" s="51">
        <v>30.6716</v>
      </c>
      <c r="D61" s="50">
        <v>0.7450220000000001</v>
      </c>
      <c r="E61" s="51">
        <v>30.266</v>
      </c>
      <c r="F61" s="50">
        <v>0.7137975000000001</v>
      </c>
      <c r="G61" s="51">
        <v>30.3413</v>
      </c>
      <c r="H61" s="50">
        <v>0.7743614999999999</v>
      </c>
      <c r="I61" s="51">
        <v>30.5286</v>
      </c>
      <c r="J61" s="50">
        <v>0.7245779999999999</v>
      </c>
      <c r="K61" s="51">
        <v>30.4817</v>
      </c>
      <c r="L61" s="50">
        <v>0.7234365</v>
      </c>
      <c r="M61" s="6"/>
      <c r="N61" s="52"/>
      <c r="O61" s="51">
        <v>30.375</v>
      </c>
      <c r="P61" s="50">
        <v>0.7069610000000001</v>
      </c>
      <c r="Q61" s="6"/>
      <c r="R61" s="52"/>
      <c r="S61" s="6"/>
      <c r="T61" s="52"/>
      <c r="U61" s="51">
        <v>30.3861</v>
      </c>
      <c r="V61" s="50">
        <v>0.706516</v>
      </c>
      <c r="W61" s="6"/>
      <c r="X61" s="52"/>
      <c r="Y61" s="6"/>
      <c r="Z61" s="52"/>
      <c r="AA61" s="51">
        <v>30.4117</v>
      </c>
      <c r="AB61" s="50">
        <v>0.6673524999999999</v>
      </c>
      <c r="AC61" s="6"/>
      <c r="AD61" s="52"/>
      <c r="AE61" s="6"/>
      <c r="AF61" s="52"/>
      <c r="AG61" s="51">
        <v>30.5762</v>
      </c>
      <c r="AH61" s="50">
        <v>0.6841</v>
      </c>
      <c r="AI61" s="6"/>
      <c r="AJ61" s="52"/>
    </row>
    <row x14ac:dyDescent="0.25" r="62" customHeight="1" ht="17.25">
      <c r="A62" s="11">
        <v>14.7365</v>
      </c>
      <c r="B62" s="50">
        <v>0.76392</v>
      </c>
      <c r="C62" s="51">
        <v>15.0459</v>
      </c>
      <c r="D62" s="50">
        <v>0.724006</v>
      </c>
      <c r="E62" s="51">
        <v>14.6803</v>
      </c>
      <c r="F62" s="50">
        <v>0.6927725</v>
      </c>
      <c r="G62" s="51">
        <v>14.7205</v>
      </c>
      <c r="H62" s="50">
        <v>0.7521785</v>
      </c>
      <c r="I62" s="51">
        <v>14.8801</v>
      </c>
      <c r="J62" s="50">
        <v>0.7032819999999999</v>
      </c>
      <c r="K62" s="51">
        <v>14.8494</v>
      </c>
      <c r="L62" s="50">
        <v>0.7025235000000001</v>
      </c>
      <c r="M62" s="6"/>
      <c r="N62" s="52"/>
      <c r="O62" s="51">
        <v>14.7227</v>
      </c>
      <c r="P62" s="50">
        <v>0.683651</v>
      </c>
      <c r="Q62" s="6"/>
      <c r="R62" s="52"/>
      <c r="S62" s="6"/>
      <c r="T62" s="52"/>
      <c r="U62" s="51">
        <v>14.7433</v>
      </c>
      <c r="V62" s="50">
        <v>0.682391</v>
      </c>
      <c r="W62" s="6"/>
      <c r="X62" s="52"/>
      <c r="Y62" s="6"/>
      <c r="Z62" s="52"/>
      <c r="AA62" s="51">
        <v>14.77</v>
      </c>
      <c r="AB62" s="50">
        <v>0.6460904999999999</v>
      </c>
      <c r="AC62" s="6"/>
      <c r="AD62" s="52"/>
      <c r="AE62" s="6"/>
      <c r="AF62" s="52"/>
      <c r="AG62" s="51">
        <v>14.9154</v>
      </c>
      <c r="AH62" s="50">
        <v>0.661884</v>
      </c>
      <c r="AI62" s="6"/>
      <c r="AJ62" s="52"/>
    </row>
    <row x14ac:dyDescent="0.25" r="63" customHeight="1" ht="17.25">
      <c r="A63" s="11">
        <v>7.08533</v>
      </c>
      <c r="B63" s="50">
        <v>0.752603</v>
      </c>
      <c r="C63" s="51">
        <v>7.41665</v>
      </c>
      <c r="D63" s="50">
        <v>0.7136600000000001</v>
      </c>
      <c r="E63" s="51">
        <v>7.14309</v>
      </c>
      <c r="F63" s="50">
        <v>0.6824985</v>
      </c>
      <c r="G63" s="51">
        <v>7.07216</v>
      </c>
      <c r="H63" s="50">
        <v>0.7411355</v>
      </c>
      <c r="I63" s="51">
        <v>7.25288</v>
      </c>
      <c r="J63" s="50">
        <v>0.6927809999999999</v>
      </c>
      <c r="K63" s="51">
        <v>7.20715</v>
      </c>
      <c r="L63" s="50">
        <v>0.6922025</v>
      </c>
      <c r="M63" s="6"/>
      <c r="N63" s="52"/>
      <c r="O63" s="51">
        <v>7.07723</v>
      </c>
      <c r="P63" s="50">
        <v>0.672072</v>
      </c>
      <c r="Q63" s="6"/>
      <c r="R63" s="52"/>
      <c r="S63" s="6"/>
      <c r="T63" s="52"/>
      <c r="U63" s="51">
        <v>7.08584</v>
      </c>
      <c r="V63" s="50">
        <v>0.670281</v>
      </c>
      <c r="W63" s="6"/>
      <c r="X63" s="52"/>
      <c r="Y63" s="6"/>
      <c r="Z63" s="52"/>
      <c r="AA63" s="51">
        <v>7.11858</v>
      </c>
      <c r="AB63" s="50">
        <v>0.6354495</v>
      </c>
      <c r="AC63" s="6"/>
      <c r="AD63" s="52"/>
      <c r="AE63" s="6"/>
      <c r="AF63" s="52"/>
      <c r="AG63" s="51">
        <v>7.26505</v>
      </c>
      <c r="AH63" s="50">
        <v>0.650833</v>
      </c>
      <c r="AI63" s="6"/>
      <c r="AJ63" s="52"/>
    </row>
    <row x14ac:dyDescent="0.25" r="64" customHeight="1" ht="17.25">
      <c r="A64" s="11">
        <v>3.38711</v>
      </c>
      <c r="B64" s="50">
        <v>0.7472230000000001</v>
      </c>
      <c r="C64" s="51">
        <v>3.70986</v>
      </c>
      <c r="D64" s="50">
        <v>0.708713</v>
      </c>
      <c r="E64" s="51">
        <v>3.4417</v>
      </c>
      <c r="F64" s="50">
        <v>0.6774775000000001</v>
      </c>
      <c r="G64" s="51">
        <v>3.38364</v>
      </c>
      <c r="H64" s="50">
        <v>0.7359905</v>
      </c>
      <c r="I64" s="51">
        <v>3.56686</v>
      </c>
      <c r="J64" s="50">
        <v>0.6877999999999999</v>
      </c>
      <c r="K64" s="51">
        <v>3.50288</v>
      </c>
      <c r="L64" s="50">
        <v>0.6873475</v>
      </c>
      <c r="M64" s="6"/>
      <c r="N64" s="52"/>
      <c r="O64" s="51">
        <v>3.36614</v>
      </c>
      <c r="P64" s="50">
        <v>0.666514</v>
      </c>
      <c r="Q64" s="6"/>
      <c r="R64" s="52"/>
      <c r="S64" s="6"/>
      <c r="T64" s="52"/>
      <c r="U64" s="51">
        <v>3.39298</v>
      </c>
      <c r="V64" s="50">
        <v>0.664598</v>
      </c>
      <c r="W64" s="6"/>
      <c r="X64" s="52"/>
      <c r="Y64" s="6"/>
      <c r="Z64" s="52"/>
      <c r="AA64" s="51">
        <v>3.42759</v>
      </c>
      <c r="AB64" s="50">
        <v>0.6304485</v>
      </c>
      <c r="AC64" s="6"/>
      <c r="AD64" s="52"/>
      <c r="AE64" s="6"/>
      <c r="AF64" s="52"/>
      <c r="AG64" s="51">
        <v>3.55309</v>
      </c>
      <c r="AH64" s="50">
        <v>0.64558</v>
      </c>
      <c r="AI64" s="6"/>
      <c r="AJ64" s="52"/>
    </row>
    <row x14ac:dyDescent="0.25" r="65" customHeight="1" ht="17.25">
      <c r="A65" s="11">
        <v>-0.154014</v>
      </c>
      <c r="B65" s="50">
        <v>0.7420570000000001</v>
      </c>
      <c r="C65" s="51">
        <v>0.178222</v>
      </c>
      <c r="D65" s="50">
        <v>0.7040120000000001</v>
      </c>
      <c r="E65" s="51">
        <v>-0.103245</v>
      </c>
      <c r="F65" s="50">
        <v>0.6726935</v>
      </c>
      <c r="G65" s="51">
        <v>-0.15776</v>
      </c>
      <c r="H65" s="50">
        <v>0.7309675</v>
      </c>
      <c r="I65" s="51">
        <v>0.027261</v>
      </c>
      <c r="J65" s="50">
        <v>0.6828969999999999</v>
      </c>
      <c r="K65" s="51">
        <v>-0.0536369</v>
      </c>
      <c r="L65" s="50">
        <v>0.6826055</v>
      </c>
      <c r="M65" s="6"/>
      <c r="N65" s="52"/>
      <c r="O65" s="51">
        <v>-0.182653</v>
      </c>
      <c r="P65" s="50">
        <v>0.661128</v>
      </c>
      <c r="Q65" s="6"/>
      <c r="R65" s="52"/>
      <c r="S65" s="6"/>
      <c r="T65" s="52"/>
      <c r="U65" s="51">
        <v>-0.143597</v>
      </c>
      <c r="V65" s="50">
        <v>0.65906</v>
      </c>
      <c r="W65" s="6"/>
      <c r="X65" s="52"/>
      <c r="Y65" s="6"/>
      <c r="Z65" s="52"/>
      <c r="AA65" s="51">
        <v>-0.125278</v>
      </c>
      <c r="AB65" s="50">
        <v>0.6256335</v>
      </c>
      <c r="AC65" s="6"/>
      <c r="AD65" s="52"/>
      <c r="AE65" s="6"/>
      <c r="AF65" s="52"/>
      <c r="AG65" s="51">
        <v>0.0129393</v>
      </c>
      <c r="AH65" s="50">
        <v>0.640428</v>
      </c>
      <c r="AI65" s="6"/>
      <c r="AJ65" s="52"/>
    </row>
    <row x14ac:dyDescent="0.25" r="66" customHeight="1" ht="17.25">
      <c r="A66" s="11">
        <v>-3.86241</v>
      </c>
      <c r="B66" s="50">
        <v>0.7364350000000001</v>
      </c>
      <c r="C66" s="51">
        <v>-3.52654</v>
      </c>
      <c r="D66" s="50">
        <v>0.698848</v>
      </c>
      <c r="E66" s="51">
        <v>-3.80498</v>
      </c>
      <c r="F66" s="50">
        <v>0.6675765</v>
      </c>
      <c r="G66" s="51">
        <v>-3.86792</v>
      </c>
      <c r="H66" s="50">
        <v>0.7255714999999999</v>
      </c>
      <c r="I66" s="51">
        <v>-3.66382</v>
      </c>
      <c r="J66" s="50">
        <v>0.6775269999999999</v>
      </c>
      <c r="K66" s="51">
        <v>-3.7495</v>
      </c>
      <c r="L66" s="50">
        <v>0.6775905</v>
      </c>
      <c r="M66" s="6"/>
      <c r="N66" s="52"/>
      <c r="O66" s="51">
        <v>-3.8915</v>
      </c>
      <c r="P66" s="50">
        <v>0.65532</v>
      </c>
      <c r="Q66" s="6"/>
      <c r="R66" s="52"/>
      <c r="S66" s="6"/>
      <c r="T66" s="52"/>
      <c r="U66" s="51">
        <v>-3.84293</v>
      </c>
      <c r="V66" s="50">
        <v>0.6531</v>
      </c>
      <c r="W66" s="6"/>
      <c r="X66" s="52"/>
      <c r="Y66" s="6"/>
      <c r="Z66" s="52"/>
      <c r="AA66" s="51">
        <v>-3.82331</v>
      </c>
      <c r="AB66" s="50">
        <v>0.6204805</v>
      </c>
      <c r="AC66" s="6"/>
      <c r="AD66" s="52"/>
      <c r="AE66" s="6"/>
      <c r="AF66" s="52"/>
      <c r="AG66" s="51">
        <v>-3.68046</v>
      </c>
      <c r="AH66" s="50">
        <v>0.634844</v>
      </c>
      <c r="AI66" s="6"/>
      <c r="AJ66" s="52"/>
    </row>
    <row x14ac:dyDescent="0.25" r="67" customHeight="1" ht="17.25">
      <c r="A67" s="11">
        <v>-7.5468</v>
      </c>
      <c r="B67" s="50">
        <v>0.730754</v>
      </c>
      <c r="C67" s="51">
        <v>-7.21018</v>
      </c>
      <c r="D67" s="50">
        <v>0.693582</v>
      </c>
      <c r="E67" s="51">
        <v>-7.48916</v>
      </c>
      <c r="F67" s="50">
        <v>0.6623375</v>
      </c>
      <c r="G67" s="51">
        <v>-7.54336</v>
      </c>
      <c r="H67" s="50">
        <v>0.7200084999999999</v>
      </c>
      <c r="I67" s="51">
        <v>-7.36211</v>
      </c>
      <c r="J67" s="50">
        <v>0.6723539999999999</v>
      </c>
      <c r="K67" s="51">
        <v>-7.4398</v>
      </c>
      <c r="L67" s="50">
        <v>0.6724235000000001</v>
      </c>
      <c r="M67" s="6"/>
      <c r="N67" s="52"/>
      <c r="O67" s="51">
        <v>-7.58023</v>
      </c>
      <c r="P67" s="50">
        <v>0.649197</v>
      </c>
      <c r="Q67" s="6"/>
      <c r="R67" s="52"/>
      <c r="S67" s="6"/>
      <c r="T67" s="52"/>
      <c r="U67" s="51">
        <v>-7.53192</v>
      </c>
      <c r="V67" s="50">
        <v>0.647089</v>
      </c>
      <c r="W67" s="6"/>
      <c r="X67" s="52"/>
      <c r="Y67" s="6"/>
      <c r="Z67" s="52"/>
      <c r="AA67" s="51">
        <v>-7.51025</v>
      </c>
      <c r="AB67" s="50">
        <v>0.6151654999999999</v>
      </c>
      <c r="AC67" s="6"/>
      <c r="AD67" s="52"/>
      <c r="AE67" s="6"/>
      <c r="AF67" s="52"/>
      <c r="AG67" s="51">
        <v>-7.39969</v>
      </c>
      <c r="AH67" s="50">
        <v>0.629641</v>
      </c>
      <c r="AI67" s="6"/>
      <c r="AJ67" s="52"/>
    </row>
    <row x14ac:dyDescent="0.25" r="68" customHeight="1" ht="17.25">
      <c r="A68" s="11">
        <v>-15.2006</v>
      </c>
      <c r="B68" s="50">
        <v>0.7183990000000001</v>
      </c>
      <c r="C68" s="51">
        <v>-14.8587</v>
      </c>
      <c r="D68" s="50">
        <v>0.682261</v>
      </c>
      <c r="E68" s="51">
        <v>-15.1256</v>
      </c>
      <c r="F68" s="50">
        <v>0.6510155000000001</v>
      </c>
      <c r="G68" s="51">
        <v>-15.2097</v>
      </c>
      <c r="H68" s="50">
        <v>0.7080265</v>
      </c>
      <c r="I68" s="51">
        <v>-15.002</v>
      </c>
      <c r="J68" s="50">
        <v>0.661028</v>
      </c>
      <c r="K68" s="51">
        <v>-15.093</v>
      </c>
      <c r="L68" s="50">
        <v>0.6612875</v>
      </c>
      <c r="M68" s="6"/>
      <c r="N68" s="52"/>
      <c r="O68" s="51">
        <v>-15.2187</v>
      </c>
      <c r="P68" s="50">
        <v>0.636518</v>
      </c>
      <c r="Q68" s="6"/>
      <c r="R68" s="52"/>
      <c r="S68" s="6"/>
      <c r="T68" s="52"/>
      <c r="U68" s="51">
        <v>-15.2014</v>
      </c>
      <c r="V68" s="50">
        <v>0.6339400000000001</v>
      </c>
      <c r="W68" s="6"/>
      <c r="X68" s="52"/>
      <c r="Y68" s="6"/>
      <c r="Z68" s="52"/>
      <c r="AA68" s="51">
        <v>-15.1576</v>
      </c>
      <c r="AB68" s="50">
        <v>0.6037055</v>
      </c>
      <c r="AC68" s="6"/>
      <c r="AD68" s="52"/>
      <c r="AE68" s="6"/>
      <c r="AF68" s="52"/>
      <c r="AG68" s="51">
        <v>-15.0522</v>
      </c>
      <c r="AH68" s="50">
        <v>0.617536</v>
      </c>
      <c r="AI68" s="6"/>
      <c r="AJ68" s="52"/>
    </row>
    <row x14ac:dyDescent="0.25" r="69" customHeight="1" ht="17.25">
      <c r="A69" s="11">
        <v>-30.8435</v>
      </c>
      <c r="B69" s="50">
        <v>0.6919730000000001</v>
      </c>
      <c r="C69" s="51">
        <v>-30.49</v>
      </c>
      <c r="D69" s="50">
        <v>0.657925</v>
      </c>
      <c r="E69" s="51">
        <v>-30.7606</v>
      </c>
      <c r="F69" s="50">
        <v>0.6263695</v>
      </c>
      <c r="G69" s="51">
        <v>-30.8298</v>
      </c>
      <c r="H69" s="50">
        <v>0.6824895</v>
      </c>
      <c r="I69" s="51">
        <v>-30.6191</v>
      </c>
      <c r="J69" s="50">
        <v>0.6362279999999999</v>
      </c>
      <c r="K69" s="51">
        <v>-30.7151</v>
      </c>
      <c r="L69" s="50">
        <v>0.6372665000000001</v>
      </c>
      <c r="M69" s="6"/>
      <c r="N69" s="52"/>
      <c r="O69" s="51">
        <v>-30.8488</v>
      </c>
      <c r="P69" s="50">
        <v>0.6089960000000001</v>
      </c>
      <c r="Q69" s="6"/>
      <c r="R69" s="52"/>
      <c r="S69" s="6"/>
      <c r="T69" s="52"/>
      <c r="U69" s="51">
        <v>-30.8315</v>
      </c>
      <c r="V69" s="50">
        <v>0.605441</v>
      </c>
      <c r="W69" s="6"/>
      <c r="X69" s="52"/>
      <c r="Y69" s="6"/>
      <c r="Z69" s="52"/>
      <c r="AA69" s="51">
        <v>-30.8081</v>
      </c>
      <c r="AB69" s="50">
        <v>0.5787755</v>
      </c>
      <c r="AC69" s="6"/>
      <c r="AD69" s="52"/>
      <c r="AE69" s="6"/>
      <c r="AF69" s="52"/>
      <c r="AG69" s="51">
        <v>-30.6859</v>
      </c>
      <c r="AH69" s="50">
        <v>0.591348</v>
      </c>
      <c r="AI69" s="6"/>
      <c r="AJ69" s="52"/>
    </row>
    <row x14ac:dyDescent="0.25" r="70" customHeight="1" ht="17.25">
      <c r="A70" s="11">
        <v>-61.2824</v>
      </c>
      <c r="B70" s="50">
        <v>0.6356590000000001</v>
      </c>
      <c r="C70" s="51">
        <v>-61.1283</v>
      </c>
      <c r="D70" s="50">
        <v>0.606008</v>
      </c>
      <c r="E70" s="51">
        <v>-61.3825</v>
      </c>
      <c r="F70" s="50">
        <v>0.5732815</v>
      </c>
      <c r="G70" s="51">
        <v>-61.4805</v>
      </c>
      <c r="H70" s="50">
        <v>0.6277944999999999</v>
      </c>
      <c r="I70" s="51">
        <v>-61.2906</v>
      </c>
      <c r="J70" s="50">
        <v>0.582517</v>
      </c>
      <c r="K70" s="51">
        <v>-61.3484</v>
      </c>
      <c r="L70" s="50">
        <v>0.5855155000000001</v>
      </c>
      <c r="M70" s="6"/>
      <c r="N70" s="52"/>
      <c r="O70" s="51">
        <v>-61.4489</v>
      </c>
      <c r="P70" s="50">
        <v>0.5481950000000001</v>
      </c>
      <c r="Q70" s="6"/>
      <c r="R70" s="52"/>
      <c r="S70" s="6"/>
      <c r="T70" s="52"/>
      <c r="U70" s="51">
        <v>-61.4471</v>
      </c>
      <c r="V70" s="50">
        <v>0.541378</v>
      </c>
      <c r="W70" s="6"/>
      <c r="X70" s="52"/>
      <c r="Y70" s="6"/>
      <c r="Z70" s="52"/>
      <c r="AA70" s="51">
        <v>-61.4142</v>
      </c>
      <c r="AB70" s="50">
        <v>0.5242064999999999</v>
      </c>
      <c r="AC70" s="6"/>
      <c r="AD70" s="52"/>
      <c r="AE70" s="6"/>
      <c r="AF70" s="52"/>
      <c r="AG70" s="51">
        <v>-61.3566</v>
      </c>
      <c r="AH70" s="50">
        <v>0.533306</v>
      </c>
      <c r="AI70" s="6"/>
      <c r="AJ70" s="52"/>
    </row>
    <row x14ac:dyDescent="0.25" r="71" customHeight="1" ht="17.25">
      <c r="A71" s="11">
        <v>-122.591</v>
      </c>
      <c r="B71" s="50">
        <v>0.48536100000000004</v>
      </c>
      <c r="C71" s="51">
        <v>-122.416</v>
      </c>
      <c r="D71" s="50">
        <v>0.46958300000000003</v>
      </c>
      <c r="E71" s="51">
        <v>-122.66</v>
      </c>
      <c r="F71" s="50">
        <v>0.4255205</v>
      </c>
      <c r="G71" s="51">
        <v>-122.776</v>
      </c>
      <c r="H71" s="50">
        <v>0.48415349999999996</v>
      </c>
      <c r="I71" s="51">
        <v>-122.562</v>
      </c>
      <c r="J71" s="50">
        <v>0.4313689999999999</v>
      </c>
      <c r="K71" s="51">
        <v>-122.637</v>
      </c>
      <c r="L71" s="50">
        <v>0.44657450000000004</v>
      </c>
      <c r="M71" s="6"/>
      <c r="N71" s="52"/>
      <c r="O71" s="51">
        <v>-122.772</v>
      </c>
      <c r="P71" s="50">
        <v>0.3476580000000001</v>
      </c>
      <c r="Q71" s="6"/>
      <c r="R71" s="52"/>
      <c r="S71" s="6"/>
      <c r="T71" s="52"/>
      <c r="U71" s="51">
        <v>-122.748</v>
      </c>
      <c r="V71" s="50">
        <v>0.315993</v>
      </c>
      <c r="W71" s="6"/>
      <c r="X71" s="52"/>
      <c r="Y71" s="6"/>
      <c r="Z71" s="52"/>
      <c r="AA71" s="51">
        <v>-122.709</v>
      </c>
      <c r="AB71" s="50">
        <v>0.35687749999999996</v>
      </c>
      <c r="AC71" s="6"/>
      <c r="AD71" s="52"/>
      <c r="AE71" s="6"/>
      <c r="AF71" s="52"/>
      <c r="AG71" s="51">
        <v>-122.686</v>
      </c>
      <c r="AH71" s="50">
        <v>0.350263</v>
      </c>
      <c r="AI71" s="6"/>
      <c r="AJ71" s="52"/>
    </row>
    <row x14ac:dyDescent="0.25" r="72" customHeight="1" ht="17.25">
      <c r="A72" s="11">
        <v>-245.138</v>
      </c>
      <c r="B72" s="50">
        <v>-0.24442199999999992</v>
      </c>
      <c r="C72" s="51">
        <v>-244.935</v>
      </c>
      <c r="D72" s="50">
        <v>-0.19316599999999998</v>
      </c>
      <c r="E72" s="51">
        <v>-245.163</v>
      </c>
      <c r="F72" s="50">
        <v>-0.23406049999999995</v>
      </c>
      <c r="G72" s="51">
        <v>-245.31</v>
      </c>
      <c r="H72" s="50">
        <v>-0.2163065</v>
      </c>
      <c r="I72" s="51">
        <v>-245.109</v>
      </c>
      <c r="J72" s="50">
        <v>-0.24023000000000008</v>
      </c>
      <c r="K72" s="51">
        <v>-245.189</v>
      </c>
      <c r="L72" s="50">
        <v>-0.20453049999999998</v>
      </c>
      <c r="M72" s="6"/>
      <c r="N72" s="52"/>
      <c r="O72" s="51">
        <v>-245.298</v>
      </c>
      <c r="P72" s="50">
        <v>-0.30862899999999993</v>
      </c>
      <c r="Q72" s="6"/>
      <c r="R72" s="52"/>
      <c r="S72" s="6"/>
      <c r="T72" s="52"/>
      <c r="U72" s="51">
        <v>-245.277</v>
      </c>
      <c r="V72" s="50">
        <v>-0.365463</v>
      </c>
      <c r="W72" s="6"/>
      <c r="X72" s="52"/>
      <c r="Y72" s="6"/>
      <c r="Z72" s="52"/>
      <c r="AA72" s="51">
        <v>-245.268</v>
      </c>
      <c r="AB72" s="50">
        <v>-0.27192350000000004</v>
      </c>
      <c r="AC72" s="6"/>
      <c r="AD72" s="52"/>
      <c r="AE72" s="6"/>
      <c r="AF72" s="52"/>
      <c r="AG72" s="51">
        <v>-245.325</v>
      </c>
      <c r="AH72" s="50">
        <v>-0.312885</v>
      </c>
      <c r="AI72" s="6"/>
      <c r="AJ72" s="52"/>
    </row>
    <row x14ac:dyDescent="0.25" r="73" customHeight="1" ht="17.25">
      <c r="A73" s="11">
        <v>-490.272</v>
      </c>
      <c r="B73" s="50">
        <v>-0.8028939999999999</v>
      </c>
      <c r="C73" s="51">
        <v>-489.963</v>
      </c>
      <c r="D73" s="50">
        <v>-0.741464</v>
      </c>
      <c r="E73" s="51">
        <v>-490.179</v>
      </c>
      <c r="F73" s="50">
        <v>-0.7377035</v>
      </c>
      <c r="G73" s="51">
        <v>-490.347</v>
      </c>
      <c r="H73" s="50">
        <v>-0.7770915</v>
      </c>
      <c r="I73" s="51">
        <v>-490.15</v>
      </c>
      <c r="J73" s="50">
        <v>-0.7427180000000001</v>
      </c>
      <c r="K73" s="51">
        <v>-490.261</v>
      </c>
      <c r="L73" s="50">
        <v>-0.7299335</v>
      </c>
      <c r="M73" s="6"/>
      <c r="N73" s="52"/>
      <c r="O73" s="51">
        <v>-490.321</v>
      </c>
      <c r="P73" s="50">
        <v>-0.765833</v>
      </c>
      <c r="Q73" s="6"/>
      <c r="R73" s="52"/>
      <c r="S73" s="6"/>
      <c r="T73" s="52"/>
      <c r="U73" s="51">
        <v>-490.304</v>
      </c>
      <c r="V73" s="50">
        <v>-0.806003</v>
      </c>
      <c r="W73" s="6"/>
      <c r="X73" s="52"/>
      <c r="Y73" s="6"/>
      <c r="Z73" s="52"/>
      <c r="AA73" s="51">
        <v>-490.36</v>
      </c>
      <c r="AB73" s="50">
        <v>-0.7194795</v>
      </c>
      <c r="AC73" s="6"/>
      <c r="AD73" s="52"/>
      <c r="AE73" s="6"/>
      <c r="AF73" s="52"/>
      <c r="AG73" s="51">
        <v>-490.551</v>
      </c>
      <c r="AH73" s="50">
        <v>-0.753582</v>
      </c>
      <c r="AI73" s="6"/>
      <c r="AJ73" s="52"/>
    </row>
    <row x14ac:dyDescent="0.25" r="74" customHeight="1" ht="17.25">
      <c r="A74" s="11">
        <v>-735.381</v>
      </c>
      <c r="B74" s="50">
        <v>-1.0361449999999999</v>
      </c>
      <c r="C74" s="51">
        <v>-734.992</v>
      </c>
      <c r="D74" s="50">
        <v>-0.973071</v>
      </c>
      <c r="E74" s="51">
        <v>-735.198</v>
      </c>
      <c r="F74" s="50">
        <v>-0.9628295</v>
      </c>
      <c r="G74" s="51">
        <v>-735.416</v>
      </c>
      <c r="H74" s="50">
        <v>-1.0112575000000001</v>
      </c>
      <c r="I74" s="51">
        <v>-735.203</v>
      </c>
      <c r="J74" s="50">
        <v>-0.9676520000000001</v>
      </c>
      <c r="K74" s="51">
        <v>-735.32</v>
      </c>
      <c r="L74" s="50">
        <v>-0.9600765</v>
      </c>
      <c r="M74" s="6"/>
      <c r="N74" s="52"/>
      <c r="O74" s="51">
        <v>-735.368</v>
      </c>
      <c r="P74" s="50">
        <v>-0.987347</v>
      </c>
      <c r="Q74" s="6"/>
      <c r="R74" s="52"/>
      <c r="S74" s="6"/>
      <c r="T74" s="52"/>
      <c r="U74" s="51">
        <v>-735.36</v>
      </c>
      <c r="V74" s="50">
        <v>-1.020655</v>
      </c>
      <c r="W74" s="6"/>
      <c r="X74" s="52"/>
      <c r="Y74" s="6"/>
      <c r="Z74" s="52"/>
      <c r="AA74" s="51">
        <v>-735.488</v>
      </c>
      <c r="AB74" s="50">
        <v>-0.9381225000000001</v>
      </c>
      <c r="AC74" s="6"/>
      <c r="AD74" s="52"/>
      <c r="AE74" s="6"/>
      <c r="AF74" s="52"/>
      <c r="AG74" s="51">
        <v>-735.801</v>
      </c>
      <c r="AH74" s="50">
        <v>-0.969686</v>
      </c>
      <c r="AI74" s="6"/>
      <c r="AJ74" s="52"/>
    </row>
    <row x14ac:dyDescent="0.25" r="75" customHeight="1" ht="17.25">
      <c r="A75" s="11">
        <v>-980.534</v>
      </c>
      <c r="B75" s="50">
        <v>-1.187675</v>
      </c>
      <c r="C75" s="51">
        <v>-980.06</v>
      </c>
      <c r="D75" s="50">
        <v>-1.12652</v>
      </c>
      <c r="E75" s="51">
        <v>-980.207</v>
      </c>
      <c r="F75" s="50">
        <v>-1.1158425</v>
      </c>
      <c r="G75" s="51">
        <v>-980.52</v>
      </c>
      <c r="H75" s="50">
        <v>-1.1640774999999999</v>
      </c>
      <c r="I75" s="51">
        <v>-980.299</v>
      </c>
      <c r="J75" s="50">
        <v>-1.12006</v>
      </c>
      <c r="K75" s="51">
        <v>-980.475</v>
      </c>
      <c r="L75" s="50">
        <v>-1.1153875</v>
      </c>
      <c r="M75" s="6"/>
      <c r="N75" s="52"/>
      <c r="O75" s="51">
        <v>-980.473</v>
      </c>
      <c r="P75" s="50">
        <v>-1.13973</v>
      </c>
      <c r="Q75" s="6"/>
      <c r="R75" s="52"/>
      <c r="S75" s="6"/>
      <c r="T75" s="52"/>
      <c r="U75" s="51">
        <v>-980.469</v>
      </c>
      <c r="V75" s="50">
        <v>-1.1678350000000002</v>
      </c>
      <c r="W75" s="6"/>
      <c r="X75" s="52"/>
      <c r="Y75" s="6"/>
      <c r="Z75" s="52"/>
      <c r="AA75" s="51">
        <v>-980.647</v>
      </c>
      <c r="AB75" s="50">
        <v>-1.0927725000000001</v>
      </c>
      <c r="AC75" s="6"/>
      <c r="AD75" s="52"/>
      <c r="AE75" s="6"/>
      <c r="AF75" s="52"/>
      <c r="AG75" s="51">
        <v>-981.138</v>
      </c>
      <c r="AH75" s="50">
        <v>-1.12187</v>
      </c>
      <c r="AI75" s="6"/>
      <c r="AJ75" s="52"/>
    </row>
    <row x14ac:dyDescent="0.25" r="76" customHeight="1" ht="17.25">
      <c r="A76" s="11">
        <v>-1225.65</v>
      </c>
      <c r="B76" s="50">
        <v>-1.295545</v>
      </c>
      <c r="C76" s="51">
        <v>-1225.1</v>
      </c>
      <c r="D76" s="50">
        <v>-1.23923</v>
      </c>
      <c r="E76" s="51">
        <v>-1225.23</v>
      </c>
      <c r="F76" s="50">
        <v>-1.2300925</v>
      </c>
      <c r="G76" s="51">
        <v>-1225.6</v>
      </c>
      <c r="H76" s="50">
        <v>-1.2738675000000002</v>
      </c>
      <c r="I76" s="51">
        <v>-1225.38</v>
      </c>
      <c r="J76" s="50">
        <v>-1.23374</v>
      </c>
      <c r="K76" s="51">
        <v>-1225.56</v>
      </c>
      <c r="L76" s="50">
        <v>-1.2306275</v>
      </c>
      <c r="M76" s="6"/>
      <c r="N76" s="52"/>
      <c r="O76" s="51">
        <v>-1225.53</v>
      </c>
      <c r="P76" s="50">
        <v>-1.25151</v>
      </c>
      <c r="Q76" s="6"/>
      <c r="R76" s="52"/>
      <c r="S76" s="6"/>
      <c r="T76" s="52"/>
      <c r="U76" s="51">
        <v>-1225.55</v>
      </c>
      <c r="V76" s="50">
        <v>-1.2751649999999999</v>
      </c>
      <c r="W76" s="6"/>
      <c r="X76" s="52"/>
      <c r="Y76" s="6"/>
      <c r="Z76" s="52"/>
      <c r="AA76" s="51">
        <v>-1225.74</v>
      </c>
      <c r="AB76" s="50">
        <v>-1.2098325</v>
      </c>
      <c r="AC76" s="6"/>
      <c r="AD76" s="52"/>
      <c r="AE76" s="6"/>
      <c r="AF76" s="52"/>
      <c r="AG76" s="51">
        <v>-1226.4</v>
      </c>
      <c r="AH76" s="50">
        <v>-1.23564</v>
      </c>
      <c r="AI76" s="6"/>
      <c r="AJ76" s="52"/>
    </row>
    <row x14ac:dyDescent="0.25" r="77" customHeight="1" ht="17.25">
      <c r="A77" s="11">
        <v>-1470.71</v>
      </c>
      <c r="B77" s="50">
        <v>-1.3738549999999998</v>
      </c>
      <c r="C77" s="51">
        <v>-1470.22</v>
      </c>
      <c r="D77" s="50">
        <v>-1.32361</v>
      </c>
      <c r="E77" s="51">
        <v>-1470.3</v>
      </c>
      <c r="F77" s="50">
        <v>-1.3168525</v>
      </c>
      <c r="G77" s="51">
        <v>-1470.67</v>
      </c>
      <c r="H77" s="50">
        <v>-1.3543075</v>
      </c>
      <c r="I77" s="51">
        <v>-1470.38</v>
      </c>
      <c r="J77" s="50">
        <v>-1.32003</v>
      </c>
      <c r="K77" s="51">
        <v>-1470.66</v>
      </c>
      <c r="L77" s="50">
        <v>-1.3175575</v>
      </c>
      <c r="M77" s="6"/>
      <c r="N77" s="52"/>
      <c r="O77" s="51">
        <v>-1470.57</v>
      </c>
      <c r="P77" s="50">
        <v>-1.3345099999999999</v>
      </c>
      <c r="Q77" s="6"/>
      <c r="R77" s="52"/>
      <c r="S77" s="6"/>
      <c r="T77" s="52"/>
      <c r="U77" s="51">
        <v>-1470.61</v>
      </c>
      <c r="V77" s="50">
        <v>-1.354365</v>
      </c>
      <c r="W77" s="6"/>
      <c r="X77" s="52"/>
      <c r="Y77" s="6"/>
      <c r="Z77" s="52"/>
      <c r="AA77" s="51">
        <v>-1470.87</v>
      </c>
      <c r="AB77" s="50">
        <v>-1.2991225</v>
      </c>
      <c r="AC77" s="6"/>
      <c r="AD77" s="52"/>
      <c r="AE77" s="6"/>
      <c r="AF77" s="52"/>
      <c r="AG77" s="51">
        <v>-1471.66</v>
      </c>
      <c r="AH77" s="50">
        <v>-1.32122</v>
      </c>
      <c r="AI77" s="6"/>
      <c r="AJ77" s="52"/>
    </row>
    <row x14ac:dyDescent="0.25" r="78" customHeight="1" ht="17.25">
      <c r="A78" s="11">
        <v>-1715.85</v>
      </c>
      <c r="B78" s="50">
        <v>-1.431895</v>
      </c>
      <c r="C78" s="51">
        <v>-1715.37</v>
      </c>
      <c r="D78" s="50">
        <v>-1.38739</v>
      </c>
      <c r="E78" s="51">
        <v>-1715.44</v>
      </c>
      <c r="F78" s="50">
        <v>-1.3831425</v>
      </c>
      <c r="G78" s="51">
        <v>-1715.77</v>
      </c>
      <c r="H78" s="50">
        <v>-1.4142575000000002</v>
      </c>
      <c r="I78" s="51">
        <v>-1715.53</v>
      </c>
      <c r="J78" s="50">
        <v>-1.38602</v>
      </c>
      <c r="K78" s="51">
        <v>-1715.8</v>
      </c>
      <c r="L78" s="50">
        <v>-1.3835175</v>
      </c>
      <c r="M78" s="6"/>
      <c r="N78" s="52"/>
      <c r="O78" s="51">
        <v>-1715.66</v>
      </c>
      <c r="P78" s="50">
        <v>-1.3970099999999999</v>
      </c>
      <c r="Q78" s="6"/>
      <c r="R78" s="52"/>
      <c r="S78" s="6"/>
      <c r="T78" s="52"/>
      <c r="U78" s="51">
        <v>-1715.67</v>
      </c>
      <c r="V78" s="50">
        <v>-1.4136549999999999</v>
      </c>
      <c r="W78" s="6"/>
      <c r="X78" s="52"/>
      <c r="Y78" s="6"/>
      <c r="Z78" s="52"/>
      <c r="AA78" s="51">
        <v>-1716.02</v>
      </c>
      <c r="AB78" s="50">
        <v>-1.3673025</v>
      </c>
      <c r="AC78" s="6"/>
      <c r="AD78" s="52"/>
      <c r="AE78" s="6"/>
      <c r="AF78" s="52"/>
      <c r="AG78" s="51">
        <v>-1716.89</v>
      </c>
      <c r="AH78" s="50">
        <v>-1.3860000000000001</v>
      </c>
      <c r="AI78" s="6"/>
      <c r="AJ78" s="52"/>
    </row>
    <row x14ac:dyDescent="0.25" r="79" customHeight="1" ht="17.25">
      <c r="A79" s="11">
        <v>-1960.97</v>
      </c>
      <c r="B79" s="50">
        <v>-1.4759449999999998</v>
      </c>
      <c r="C79" s="51">
        <v>-1960.4</v>
      </c>
      <c r="D79" s="50">
        <v>-1.43623</v>
      </c>
      <c r="E79" s="51">
        <v>-1960.44</v>
      </c>
      <c r="F79" s="50">
        <v>-1.4343424999999999</v>
      </c>
      <c r="G79" s="51">
        <v>-1960.79</v>
      </c>
      <c r="H79" s="50">
        <v>-1.4599475000000002</v>
      </c>
      <c r="I79" s="51">
        <v>-1960.59</v>
      </c>
      <c r="J79" s="50">
        <v>-1.4370900000000002</v>
      </c>
      <c r="K79" s="51">
        <v>-1960.86</v>
      </c>
      <c r="L79" s="50">
        <v>-1.4342475</v>
      </c>
      <c r="M79" s="6"/>
      <c r="N79" s="52"/>
      <c r="O79" s="51">
        <v>-1960.75</v>
      </c>
      <c r="P79" s="50">
        <v>-1.4448999999999999</v>
      </c>
      <c r="Q79" s="6"/>
      <c r="R79" s="52"/>
      <c r="S79" s="6"/>
      <c r="T79" s="52"/>
      <c r="U79" s="51">
        <v>-1960.72</v>
      </c>
      <c r="V79" s="50">
        <v>-1.4589150000000002</v>
      </c>
      <c r="W79" s="6"/>
      <c r="X79" s="52"/>
      <c r="Y79" s="6"/>
      <c r="Z79" s="52"/>
      <c r="AA79" s="51">
        <v>-1961.11</v>
      </c>
      <c r="AB79" s="50">
        <v>-1.4200325</v>
      </c>
      <c r="AC79" s="6"/>
      <c r="AD79" s="52"/>
      <c r="AE79" s="6"/>
      <c r="AF79" s="52"/>
      <c r="AG79" s="51">
        <v>-1962.19</v>
      </c>
      <c r="AH79" s="50">
        <v>-1.43566</v>
      </c>
      <c r="AI79" s="6"/>
      <c r="AJ79" s="52"/>
    </row>
    <row x14ac:dyDescent="0.25" r="80" customHeight="1" ht="17.25">
      <c r="A80" s="11">
        <v>-2206.11</v>
      </c>
      <c r="B80" s="50">
        <v>-1.5105149999999998</v>
      </c>
      <c r="C80" s="51">
        <v>-2205.35</v>
      </c>
      <c r="D80" s="50">
        <v>-1.47458</v>
      </c>
      <c r="E80" s="51">
        <v>-2205.49</v>
      </c>
      <c r="F80" s="50">
        <v>-1.4746725</v>
      </c>
      <c r="G80" s="51">
        <v>-2205.87</v>
      </c>
      <c r="H80" s="50">
        <v>-1.4957975000000001</v>
      </c>
      <c r="I80" s="51">
        <v>-2205.64</v>
      </c>
      <c r="J80" s="50">
        <v>-1.47716</v>
      </c>
      <c r="K80" s="51">
        <v>-2205.93</v>
      </c>
      <c r="L80" s="50">
        <v>-1.4739975</v>
      </c>
      <c r="M80" s="6"/>
      <c r="N80" s="52"/>
      <c r="O80" s="51">
        <v>-2205.81</v>
      </c>
      <c r="P80" s="50">
        <v>-1.48258</v>
      </c>
      <c r="Q80" s="6"/>
      <c r="R80" s="52"/>
      <c r="S80" s="6"/>
      <c r="T80" s="52"/>
      <c r="U80" s="51">
        <v>-2205.75</v>
      </c>
      <c r="V80" s="50">
        <v>-1.494605</v>
      </c>
      <c r="W80" s="6"/>
      <c r="X80" s="52"/>
      <c r="Y80" s="6"/>
      <c r="Z80" s="52"/>
      <c r="AA80" s="51">
        <v>-2206.2</v>
      </c>
      <c r="AB80" s="50">
        <v>-1.4615125</v>
      </c>
      <c r="AC80" s="6"/>
      <c r="AD80" s="52"/>
      <c r="AE80" s="6"/>
      <c r="AF80" s="52"/>
      <c r="AG80" s="51">
        <v>-2207.45</v>
      </c>
      <c r="AH80" s="50">
        <v>-1.47489</v>
      </c>
      <c r="AI80" s="6"/>
      <c r="AJ80" s="52"/>
    </row>
    <row x14ac:dyDescent="0.25" r="81" customHeight="1" ht="17.25">
      <c r="A81" s="11">
        <v>-2451.24</v>
      </c>
      <c r="B81" s="50">
        <v>-1.538475</v>
      </c>
      <c r="C81" s="51">
        <v>-2450.38</v>
      </c>
      <c r="D81" s="50">
        <v>-1.5053699999999999</v>
      </c>
      <c r="E81" s="51">
        <v>-2450.48</v>
      </c>
      <c r="F81" s="50">
        <v>-1.5069725</v>
      </c>
      <c r="G81" s="51">
        <v>-2450.95</v>
      </c>
      <c r="H81" s="50">
        <v>-1.5248075</v>
      </c>
      <c r="I81" s="51">
        <v>-2450.71</v>
      </c>
      <c r="J81" s="50">
        <v>-1.5096500000000002</v>
      </c>
      <c r="K81" s="51">
        <v>-2451.04</v>
      </c>
      <c r="L81" s="50">
        <v>-1.5060775</v>
      </c>
      <c r="M81" s="6"/>
      <c r="N81" s="52"/>
      <c r="O81" s="51">
        <v>-2450.82</v>
      </c>
      <c r="P81" s="50">
        <v>-1.51318</v>
      </c>
      <c r="Q81" s="6"/>
      <c r="R81" s="52"/>
      <c r="S81" s="6"/>
      <c r="T81" s="52"/>
      <c r="U81" s="51">
        <v>-2450.79</v>
      </c>
      <c r="V81" s="50">
        <v>-1.523555</v>
      </c>
      <c r="W81" s="6"/>
      <c r="X81" s="52"/>
      <c r="Y81" s="6"/>
      <c r="Z81" s="52"/>
      <c r="AA81" s="51">
        <v>-2451.29</v>
      </c>
      <c r="AB81" s="50">
        <v>-1.4950625</v>
      </c>
      <c r="AC81" s="6"/>
      <c r="AD81" s="52"/>
      <c r="AE81" s="6"/>
      <c r="AF81" s="52"/>
      <c r="AG81" s="51">
        <v>-2452.62</v>
      </c>
      <c r="AH81" s="50">
        <v>-1.50658</v>
      </c>
      <c r="AI81" s="6"/>
      <c r="AJ81" s="52"/>
    </row>
    <row x14ac:dyDescent="0.25" r="82" customHeight="1" ht="17.25">
      <c r="A82" s="11">
        <v>-2696.43</v>
      </c>
      <c r="B82" s="50">
        <v>-1.5618649999999998</v>
      </c>
      <c r="C82" s="51">
        <v>-2695.5</v>
      </c>
      <c r="D82" s="50">
        <v>-1.53091</v>
      </c>
      <c r="E82" s="51">
        <v>-2695.47</v>
      </c>
      <c r="F82" s="50">
        <v>-1.5336925</v>
      </c>
      <c r="G82" s="51">
        <v>-2696.08</v>
      </c>
      <c r="H82" s="50">
        <v>-1.5488675</v>
      </c>
      <c r="I82" s="51">
        <v>-2695.8</v>
      </c>
      <c r="J82" s="50">
        <v>-1.5363</v>
      </c>
      <c r="K82" s="51">
        <v>-2696.18</v>
      </c>
      <c r="L82" s="50">
        <v>-1.5326475</v>
      </c>
      <c r="M82" s="6"/>
      <c r="N82" s="52"/>
      <c r="O82" s="51">
        <v>-2695.94</v>
      </c>
      <c r="P82" s="50">
        <v>-1.53847</v>
      </c>
      <c r="Q82" s="6"/>
      <c r="R82" s="52"/>
      <c r="S82" s="6"/>
      <c r="T82" s="52"/>
      <c r="U82" s="51">
        <v>-2695.91</v>
      </c>
      <c r="V82" s="50">
        <v>-1.547605</v>
      </c>
      <c r="W82" s="6"/>
      <c r="X82" s="52"/>
      <c r="Y82" s="6"/>
      <c r="Z82" s="52"/>
      <c r="AA82" s="51">
        <v>-2696.4</v>
      </c>
      <c r="AB82" s="50">
        <v>-1.5227425</v>
      </c>
      <c r="AC82" s="6"/>
      <c r="AD82" s="52"/>
      <c r="AE82" s="6"/>
      <c r="AF82" s="52"/>
      <c r="AG82" s="51">
        <v>-2697.9</v>
      </c>
      <c r="AH82" s="50">
        <v>-1.53289</v>
      </c>
      <c r="AI82" s="6"/>
      <c r="AJ82" s="52"/>
    </row>
    <row x14ac:dyDescent="0.25" r="83" customHeight="1" ht="17.25">
      <c r="A83" s="11">
        <v>-2941.62</v>
      </c>
      <c r="B83" s="50">
        <v>-1.581825</v>
      </c>
      <c r="C83" s="51">
        <v>-2940.55</v>
      </c>
      <c r="D83" s="50">
        <v>-1.5525499999999999</v>
      </c>
      <c r="E83" s="51">
        <v>-2940.55</v>
      </c>
      <c r="F83" s="50">
        <v>-1.5562125</v>
      </c>
      <c r="G83" s="51">
        <v>-2941.09</v>
      </c>
      <c r="H83" s="50">
        <v>-1.5694474999999999</v>
      </c>
      <c r="I83" s="51">
        <v>-2940.85</v>
      </c>
      <c r="J83" s="50">
        <v>-1.5588600000000001</v>
      </c>
      <c r="K83" s="51">
        <v>-2941.29</v>
      </c>
      <c r="L83" s="50">
        <v>-1.5550375</v>
      </c>
      <c r="M83" s="6"/>
      <c r="N83" s="52"/>
      <c r="O83" s="51">
        <v>-2940.99</v>
      </c>
      <c r="P83" s="50">
        <v>-1.56005</v>
      </c>
      <c r="Q83" s="6"/>
      <c r="R83" s="52"/>
      <c r="S83" s="6"/>
      <c r="T83" s="52"/>
      <c r="U83" s="51">
        <v>-2941.05</v>
      </c>
      <c r="V83" s="50">
        <v>-1.568155</v>
      </c>
      <c r="W83" s="6"/>
      <c r="X83" s="52"/>
      <c r="Y83" s="6"/>
      <c r="Z83" s="52"/>
      <c r="AA83" s="51">
        <v>-2941.55</v>
      </c>
      <c r="AB83" s="50">
        <v>-1.5461225</v>
      </c>
      <c r="AC83" s="6"/>
      <c r="AD83" s="52"/>
      <c r="AE83" s="6"/>
      <c r="AF83" s="52"/>
      <c r="AG83" s="51">
        <v>-2943.15</v>
      </c>
      <c r="AH83" s="50">
        <v>-1.5552</v>
      </c>
      <c r="AI83" s="6"/>
      <c r="AJ83" s="52"/>
    </row>
    <row x14ac:dyDescent="0.25" r="84" customHeight="1" ht="17.25">
      <c r="A84" s="11">
        <v>-3186.71</v>
      </c>
      <c r="B84" s="50">
        <v>-1.5991849999999999</v>
      </c>
      <c r="C84" s="51">
        <v>-3185.57</v>
      </c>
      <c r="D84" s="50">
        <v>-1.57124</v>
      </c>
      <c r="E84" s="51">
        <v>-3185.5</v>
      </c>
      <c r="F84" s="50">
        <v>-1.5757325</v>
      </c>
      <c r="G84" s="51">
        <v>-3186.08</v>
      </c>
      <c r="H84" s="50">
        <v>-1.5872975</v>
      </c>
      <c r="I84" s="51">
        <v>-3185.92</v>
      </c>
      <c r="J84" s="50">
        <v>-1.57843</v>
      </c>
      <c r="K84" s="51">
        <v>-3186.36</v>
      </c>
      <c r="L84" s="50">
        <v>-1.5743575</v>
      </c>
      <c r="M84" s="6"/>
      <c r="N84" s="52"/>
      <c r="O84" s="51">
        <v>-3185.95</v>
      </c>
      <c r="P84" s="50">
        <v>-1.57881</v>
      </c>
      <c r="Q84" s="6"/>
      <c r="R84" s="52"/>
      <c r="S84" s="6"/>
      <c r="T84" s="52"/>
      <c r="U84" s="51">
        <v>-3186</v>
      </c>
      <c r="V84" s="50">
        <v>-1.585995</v>
      </c>
      <c r="W84" s="6"/>
      <c r="X84" s="52"/>
      <c r="Y84" s="6"/>
      <c r="Z84" s="52"/>
      <c r="AA84" s="51">
        <v>-3186.62</v>
      </c>
      <c r="AB84" s="50">
        <v>-1.5662025</v>
      </c>
      <c r="AC84" s="6"/>
      <c r="AD84" s="52"/>
      <c r="AE84" s="6"/>
      <c r="AF84" s="52"/>
      <c r="AG84" s="51">
        <v>-3188.46</v>
      </c>
      <c r="AH84" s="50">
        <v>-1.5745500000000001</v>
      </c>
      <c r="AI84" s="6"/>
      <c r="AJ84" s="52"/>
    </row>
    <row x14ac:dyDescent="0.25" r="85" customHeight="1" ht="17.25">
      <c r="A85" s="11">
        <v>-3431.82</v>
      </c>
      <c r="B85" s="50">
        <v>-1.614735</v>
      </c>
      <c r="C85" s="51">
        <v>-3430.67</v>
      </c>
      <c r="D85" s="50">
        <v>-1.58774</v>
      </c>
      <c r="E85" s="51">
        <v>-3430.56</v>
      </c>
      <c r="F85" s="50">
        <v>-1.5928425</v>
      </c>
      <c r="G85" s="51">
        <v>-3431.15</v>
      </c>
      <c r="H85" s="50">
        <v>-1.6031875000000002</v>
      </c>
      <c r="I85" s="51">
        <v>-3430.99</v>
      </c>
      <c r="J85" s="50">
        <v>-1.5956100000000002</v>
      </c>
      <c r="K85" s="51">
        <v>-3431.49</v>
      </c>
      <c r="L85" s="50">
        <v>-1.5914175</v>
      </c>
      <c r="M85" s="6"/>
      <c r="N85" s="52"/>
      <c r="O85" s="51">
        <v>-3431.1</v>
      </c>
      <c r="P85" s="50">
        <v>-1.59541</v>
      </c>
      <c r="Q85" s="6"/>
      <c r="R85" s="52"/>
      <c r="S85" s="6"/>
      <c r="T85" s="52"/>
      <c r="U85" s="51">
        <v>-3431.22</v>
      </c>
      <c r="V85" s="50">
        <v>-1.6018949999999998</v>
      </c>
      <c r="W85" s="6"/>
      <c r="X85" s="52"/>
      <c r="Y85" s="6"/>
      <c r="Z85" s="52"/>
      <c r="AA85" s="51">
        <v>-3431.76</v>
      </c>
      <c r="AB85" s="50">
        <v>-1.5839525</v>
      </c>
      <c r="AC85" s="6"/>
      <c r="AD85" s="52"/>
      <c r="AE85" s="6"/>
      <c r="AF85" s="52"/>
      <c r="AG85" s="51">
        <v>-3433.74</v>
      </c>
      <c r="AH85" s="50">
        <v>-1.59168</v>
      </c>
      <c r="AI85" s="6"/>
      <c r="AJ85" s="52"/>
    </row>
    <row x14ac:dyDescent="0.25" r="86" customHeight="1" ht="17.25">
      <c r="A86" s="11">
        <v>-3676.94</v>
      </c>
      <c r="B86" s="50">
        <v>-1.6286049999999999</v>
      </c>
      <c r="C86" s="51">
        <v>-3675.73</v>
      </c>
      <c r="D86" s="50">
        <v>-1.60255</v>
      </c>
      <c r="E86" s="51">
        <v>-3675.66</v>
      </c>
      <c r="F86" s="50">
        <v>-1.6081825</v>
      </c>
      <c r="G86" s="51">
        <v>-3676.24</v>
      </c>
      <c r="H86" s="50">
        <v>-1.6174374999999999</v>
      </c>
      <c r="I86" s="51">
        <v>-3676.07</v>
      </c>
      <c r="J86" s="50">
        <v>-1.6109900000000001</v>
      </c>
      <c r="K86" s="51">
        <v>-3676.6</v>
      </c>
      <c r="L86" s="50">
        <v>-1.6066274999999999</v>
      </c>
      <c r="M86" s="6"/>
      <c r="N86" s="52"/>
      <c r="O86" s="51">
        <v>-3676.06</v>
      </c>
      <c r="P86" s="50">
        <v>-1.6102999999999998</v>
      </c>
      <c r="Q86" s="6"/>
      <c r="R86" s="52"/>
      <c r="S86" s="6"/>
      <c r="T86" s="52"/>
      <c r="U86" s="51">
        <v>-3676.29</v>
      </c>
      <c r="V86" s="50">
        <v>-1.6160649999999999</v>
      </c>
      <c r="W86" s="6"/>
      <c r="X86" s="52"/>
      <c r="Y86" s="6"/>
      <c r="Z86" s="52"/>
      <c r="AA86" s="51">
        <v>-3676.85</v>
      </c>
      <c r="AB86" s="50">
        <v>-1.5998325</v>
      </c>
      <c r="AC86" s="6"/>
      <c r="AD86" s="52"/>
      <c r="AE86" s="6"/>
      <c r="AF86" s="52"/>
      <c r="AG86" s="51">
        <v>-3679.06</v>
      </c>
      <c r="AH86" s="50">
        <v>-1.60683</v>
      </c>
      <c r="AI86" s="6"/>
      <c r="AJ86" s="52"/>
    </row>
    <row x14ac:dyDescent="0.25" r="87" customHeight="1" ht="17.25">
      <c r="A87" s="11">
        <v>-3922.08</v>
      </c>
      <c r="B87" s="50">
        <v>-1.6414149999999998</v>
      </c>
      <c r="C87" s="51">
        <v>-3920.7</v>
      </c>
      <c r="D87" s="50">
        <v>-1.61594</v>
      </c>
      <c r="E87" s="51">
        <v>-3920.7</v>
      </c>
      <c r="F87" s="50">
        <v>-1.6219625</v>
      </c>
      <c r="G87" s="51">
        <v>-3921.23</v>
      </c>
      <c r="H87" s="50">
        <v>-1.6304775</v>
      </c>
      <c r="I87" s="51">
        <v>-3921.12</v>
      </c>
      <c r="J87" s="50">
        <v>-1.62474</v>
      </c>
      <c r="K87" s="51">
        <v>-3921.69</v>
      </c>
      <c r="L87" s="50">
        <v>-1.6204675</v>
      </c>
      <c r="M87" s="6"/>
      <c r="N87" s="52"/>
      <c r="O87" s="51">
        <v>-3921.14</v>
      </c>
      <c r="P87" s="50">
        <v>-1.62375</v>
      </c>
      <c r="Q87" s="6"/>
      <c r="R87" s="52"/>
      <c r="S87" s="6"/>
      <c r="T87" s="52"/>
      <c r="U87" s="51">
        <v>-3921.23</v>
      </c>
      <c r="V87" s="50">
        <v>-1.6290149999999999</v>
      </c>
      <c r="W87" s="6"/>
      <c r="X87" s="52"/>
      <c r="Y87" s="6"/>
      <c r="Z87" s="52"/>
      <c r="AA87" s="51">
        <v>-3921.99</v>
      </c>
      <c r="AB87" s="50">
        <v>-1.6140925000000002</v>
      </c>
      <c r="AC87" s="6"/>
      <c r="AD87" s="52"/>
      <c r="AE87" s="6"/>
      <c r="AF87" s="52"/>
      <c r="AG87" s="51">
        <v>-3924.32</v>
      </c>
      <c r="AH87" s="50">
        <v>-1.62064</v>
      </c>
      <c r="AI87" s="6"/>
      <c r="AJ87" s="52"/>
    </row>
    <row x14ac:dyDescent="0.25" r="88" customHeight="1" ht="17.25">
      <c r="A88" s="11">
        <v>-4167.25</v>
      </c>
      <c r="B88" s="50">
        <v>-1.6531449999999999</v>
      </c>
      <c r="C88" s="51">
        <v>-4165.75</v>
      </c>
      <c r="D88" s="50">
        <v>-1.62821</v>
      </c>
      <c r="E88" s="51">
        <v>-4165.68</v>
      </c>
      <c r="F88" s="50">
        <v>-1.6345524999999999</v>
      </c>
      <c r="G88" s="51">
        <v>-4166.4</v>
      </c>
      <c r="H88" s="50">
        <v>-1.6423875</v>
      </c>
      <c r="I88" s="51">
        <v>-4166.2</v>
      </c>
      <c r="J88" s="50">
        <v>-1.6373900000000001</v>
      </c>
      <c r="K88" s="51">
        <v>-4166.83</v>
      </c>
      <c r="L88" s="50">
        <v>-1.6330974999999999</v>
      </c>
      <c r="M88" s="6"/>
      <c r="N88" s="52"/>
      <c r="O88" s="51">
        <v>-4166.19</v>
      </c>
      <c r="P88" s="50">
        <v>-1.6362299999999999</v>
      </c>
      <c r="Q88" s="6"/>
      <c r="R88" s="52"/>
      <c r="S88" s="6"/>
      <c r="T88" s="52"/>
      <c r="U88" s="51">
        <v>-4166.29</v>
      </c>
      <c r="V88" s="50">
        <v>-1.640955</v>
      </c>
      <c r="W88" s="6"/>
      <c r="X88" s="52"/>
      <c r="Y88" s="6"/>
      <c r="Z88" s="52"/>
      <c r="AA88" s="51">
        <v>-4167.04</v>
      </c>
      <c r="AB88" s="50">
        <v>-1.6271725000000001</v>
      </c>
      <c r="AC88" s="6"/>
      <c r="AD88" s="52"/>
      <c r="AE88" s="6"/>
      <c r="AF88" s="52"/>
      <c r="AG88" s="51">
        <v>-4169.66</v>
      </c>
      <c r="AH88" s="50">
        <v>-1.63347</v>
      </c>
      <c r="AI88" s="6"/>
      <c r="AJ88" s="52"/>
    </row>
    <row x14ac:dyDescent="0.25" r="89" customHeight="1" ht="17.25">
      <c r="A89" s="11">
        <v>-4412.31</v>
      </c>
      <c r="B89" s="50">
        <v>-1.6641249999999999</v>
      </c>
      <c r="C89" s="51">
        <v>-4410.8</v>
      </c>
      <c r="D89" s="50">
        <v>-1.63955</v>
      </c>
      <c r="E89" s="51">
        <v>-4410.71</v>
      </c>
      <c r="F89" s="50">
        <v>-1.6461925</v>
      </c>
      <c r="G89" s="51">
        <v>-4411.45</v>
      </c>
      <c r="H89" s="50">
        <v>-1.6534274999999998</v>
      </c>
      <c r="I89" s="51">
        <v>-4411.22</v>
      </c>
      <c r="J89" s="50">
        <v>-1.6490500000000001</v>
      </c>
      <c r="K89" s="51">
        <v>-4411.91</v>
      </c>
      <c r="L89" s="50">
        <v>-1.6447574999999999</v>
      </c>
      <c r="M89" s="6"/>
      <c r="N89" s="52"/>
      <c r="O89" s="51">
        <v>-4411.27</v>
      </c>
      <c r="P89" s="50">
        <v>-1.6476899999999999</v>
      </c>
      <c r="Q89" s="6"/>
      <c r="R89" s="52"/>
      <c r="S89" s="6"/>
      <c r="T89" s="52"/>
      <c r="U89" s="51">
        <v>-4411.39</v>
      </c>
      <c r="V89" s="50">
        <v>-1.652005</v>
      </c>
      <c r="W89" s="6"/>
      <c r="X89" s="52"/>
      <c r="Y89" s="6"/>
      <c r="Z89" s="52"/>
      <c r="AA89" s="51">
        <v>-4412.13</v>
      </c>
      <c r="AB89" s="50">
        <v>-1.6391725000000001</v>
      </c>
      <c r="AC89" s="6"/>
      <c r="AD89" s="52"/>
      <c r="AE89" s="6"/>
      <c r="AF89" s="52"/>
      <c r="AG89" s="51">
        <v>-4414.9</v>
      </c>
      <c r="AH89" s="50">
        <v>-1.64508</v>
      </c>
      <c r="AI89" s="6"/>
      <c r="AJ89" s="52"/>
    </row>
    <row x14ac:dyDescent="0.25" r="90" customHeight="1" ht="17.25">
      <c r="A90" s="11">
        <v>-4657.48</v>
      </c>
      <c r="B90" s="50">
        <v>-1.674355</v>
      </c>
      <c r="C90" s="51">
        <v>-4655.93</v>
      </c>
      <c r="D90" s="50">
        <v>-1.65009</v>
      </c>
      <c r="E90" s="51">
        <v>-4655.76</v>
      </c>
      <c r="F90" s="50">
        <v>-1.6570025</v>
      </c>
      <c r="G90" s="51">
        <v>-4656.57</v>
      </c>
      <c r="H90" s="50">
        <v>-1.6637575</v>
      </c>
      <c r="I90" s="51">
        <v>-4656.26</v>
      </c>
      <c r="J90" s="50">
        <v>-1.65995</v>
      </c>
      <c r="K90" s="51">
        <v>-4656.86</v>
      </c>
      <c r="L90" s="50">
        <v>-1.6555975</v>
      </c>
      <c r="M90" s="6"/>
      <c r="N90" s="52"/>
      <c r="O90" s="51">
        <v>-4656.29</v>
      </c>
      <c r="P90" s="50">
        <v>-1.65842</v>
      </c>
      <c r="Q90" s="6"/>
      <c r="R90" s="52"/>
      <c r="S90" s="6"/>
      <c r="T90" s="52"/>
      <c r="U90" s="51">
        <v>-4656.4</v>
      </c>
      <c r="V90" s="50">
        <v>-1.6623549999999998</v>
      </c>
      <c r="W90" s="6"/>
      <c r="X90" s="52"/>
      <c r="Y90" s="6"/>
      <c r="Z90" s="52"/>
      <c r="AA90" s="51">
        <v>-4657.23</v>
      </c>
      <c r="AB90" s="50">
        <v>-1.6503625</v>
      </c>
      <c r="AC90" s="6"/>
      <c r="AD90" s="52"/>
      <c r="AE90" s="6"/>
      <c r="AF90" s="52"/>
      <c r="AG90" s="51">
        <v>-4660.17</v>
      </c>
      <c r="AH90" s="50">
        <v>-1.6560300000000001</v>
      </c>
      <c r="AI90" s="6"/>
      <c r="AJ90" s="52"/>
    </row>
    <row x14ac:dyDescent="0.25" r="91" customHeight="1" ht="17.25">
      <c r="A91" s="11">
        <v>-4902.56</v>
      </c>
      <c r="B91" s="50">
        <v>-1.683975</v>
      </c>
      <c r="C91" s="51">
        <v>-4900.97</v>
      </c>
      <c r="D91" s="50">
        <v>-1.65998</v>
      </c>
      <c r="E91" s="51">
        <v>-4900.84</v>
      </c>
      <c r="F91" s="50">
        <v>-1.6672025</v>
      </c>
      <c r="G91" s="51">
        <v>-4901.64</v>
      </c>
      <c r="H91" s="50">
        <v>-1.6734475</v>
      </c>
      <c r="I91" s="51">
        <v>-4901.42</v>
      </c>
      <c r="J91" s="50">
        <v>-1.6701400000000002</v>
      </c>
      <c r="K91" s="51">
        <v>-4902.08</v>
      </c>
      <c r="L91" s="50">
        <v>-1.6657175</v>
      </c>
      <c r="M91" s="6"/>
      <c r="N91" s="52"/>
      <c r="O91" s="51">
        <v>-4901.37</v>
      </c>
      <c r="P91" s="50">
        <v>-1.6685299999999998</v>
      </c>
      <c r="Q91" s="6"/>
      <c r="R91" s="52"/>
      <c r="S91" s="6"/>
      <c r="T91" s="52"/>
      <c r="U91" s="51">
        <v>-4901.59</v>
      </c>
      <c r="V91" s="50">
        <v>-1.6721149999999998</v>
      </c>
      <c r="W91" s="6"/>
      <c r="X91" s="52"/>
      <c r="Y91" s="6"/>
      <c r="Z91" s="52"/>
      <c r="AA91" s="51">
        <v>-4902.45</v>
      </c>
      <c r="AB91" s="50">
        <v>-1.6608325000000002</v>
      </c>
      <c r="AC91" s="6"/>
      <c r="AD91" s="52"/>
      <c r="AE91" s="6"/>
      <c r="AF91" s="52"/>
      <c r="AG91" s="51">
        <v>-4905.41</v>
      </c>
      <c r="AH91" s="50">
        <v>-1.66639</v>
      </c>
      <c r="AI91" s="6"/>
      <c r="AJ91" s="52"/>
    </row>
    <row x14ac:dyDescent="0.25" r="92" customHeight="1" ht="17.25">
      <c r="A92" s="11">
        <v>-5147.72</v>
      </c>
      <c r="B92" s="50">
        <v>-1.6931049999999999</v>
      </c>
      <c r="C92" s="51">
        <v>-5146.02</v>
      </c>
      <c r="D92" s="50">
        <v>-1.6693</v>
      </c>
      <c r="E92" s="51">
        <v>-5145.88</v>
      </c>
      <c r="F92" s="50">
        <v>-1.6767524999999999</v>
      </c>
      <c r="G92" s="51">
        <v>-5146.71</v>
      </c>
      <c r="H92" s="50">
        <v>-1.6825675000000002</v>
      </c>
      <c r="I92" s="51">
        <v>-5146.64</v>
      </c>
      <c r="J92" s="50">
        <v>-1.67968</v>
      </c>
      <c r="K92" s="51">
        <v>-5147.21</v>
      </c>
      <c r="L92" s="50">
        <v>-1.6753275</v>
      </c>
      <c r="M92" s="6"/>
      <c r="N92" s="52"/>
      <c r="O92" s="51">
        <v>-5146.39</v>
      </c>
      <c r="P92" s="50">
        <v>-1.6779899999999999</v>
      </c>
      <c r="Q92" s="6"/>
      <c r="R92" s="52"/>
      <c r="S92" s="6"/>
      <c r="T92" s="52"/>
      <c r="U92" s="51">
        <v>-5146.65</v>
      </c>
      <c r="V92" s="50">
        <v>-1.681375</v>
      </c>
      <c r="W92" s="6"/>
      <c r="X92" s="52"/>
      <c r="Y92" s="6"/>
      <c r="Z92" s="52"/>
      <c r="AA92" s="51">
        <v>-5147.45</v>
      </c>
      <c r="AB92" s="50">
        <v>-1.6706925000000001</v>
      </c>
      <c r="AC92" s="6"/>
      <c r="AD92" s="52"/>
      <c r="AE92" s="6"/>
      <c r="AF92" s="52"/>
      <c r="AG92" s="51">
        <v>-5150.76</v>
      </c>
      <c r="AH92" s="50">
        <v>-1.6761</v>
      </c>
      <c r="AI92" s="6"/>
      <c r="AJ92" s="52"/>
    </row>
    <row x14ac:dyDescent="0.25" r="93" customHeight="1" ht="17.25">
      <c r="A93" s="11">
        <v>-5392.79</v>
      </c>
      <c r="B93" s="50">
        <v>-1.701925</v>
      </c>
      <c r="C93" s="51">
        <v>-5391.1</v>
      </c>
      <c r="D93" s="50">
        <v>-1.67808</v>
      </c>
      <c r="E93" s="51">
        <v>-5390.94</v>
      </c>
      <c r="F93" s="50">
        <v>-1.6858225</v>
      </c>
      <c r="G93" s="51">
        <v>-5391.82</v>
      </c>
      <c r="H93" s="50">
        <v>-1.6913375</v>
      </c>
      <c r="I93" s="51">
        <v>-5391.61</v>
      </c>
      <c r="J93" s="50">
        <v>-1.68877</v>
      </c>
      <c r="K93" s="51">
        <v>-5392.28</v>
      </c>
      <c r="L93" s="50">
        <v>-1.6844575</v>
      </c>
      <c r="M93" s="6"/>
      <c r="N93" s="52"/>
      <c r="O93" s="51">
        <v>-5391.43</v>
      </c>
      <c r="P93" s="50">
        <v>-1.68699</v>
      </c>
      <c r="Q93" s="6"/>
      <c r="R93" s="52"/>
      <c r="S93" s="6"/>
      <c r="T93" s="52"/>
      <c r="U93" s="51">
        <v>-5391.95</v>
      </c>
      <c r="V93" s="50">
        <v>-1.690125</v>
      </c>
      <c r="W93" s="6"/>
      <c r="X93" s="52"/>
      <c r="Y93" s="6"/>
      <c r="Z93" s="52"/>
      <c r="AA93" s="51">
        <v>-5392.56</v>
      </c>
      <c r="AB93" s="50">
        <v>-1.6800525</v>
      </c>
      <c r="AC93" s="6"/>
      <c r="AD93" s="52"/>
      <c r="AE93" s="6"/>
      <c r="AF93" s="52"/>
      <c r="AG93" s="51">
        <v>-5396.07</v>
      </c>
      <c r="AH93" s="50">
        <v>-1.68532</v>
      </c>
      <c r="AI93" s="6"/>
      <c r="AJ93" s="52"/>
    </row>
    <row x14ac:dyDescent="0.25" r="94" customHeight="1" ht="17.25">
      <c r="A94" s="11">
        <v>-5637.74</v>
      </c>
      <c r="B94" s="50">
        <v>-1.710205</v>
      </c>
      <c r="C94" s="51">
        <v>-5636.1</v>
      </c>
      <c r="D94" s="50">
        <v>-1.68648</v>
      </c>
      <c r="E94" s="51">
        <v>-5635.93</v>
      </c>
      <c r="F94" s="50">
        <v>-1.6944525</v>
      </c>
      <c r="G94" s="51">
        <v>-5636.84</v>
      </c>
      <c r="H94" s="50">
        <v>-1.6997375</v>
      </c>
      <c r="I94" s="51">
        <v>-5636.71</v>
      </c>
      <c r="J94" s="50">
        <v>-1.6974500000000001</v>
      </c>
      <c r="K94" s="51">
        <v>-5637.42</v>
      </c>
      <c r="L94" s="50">
        <v>-1.6931275</v>
      </c>
      <c r="M94" s="6"/>
      <c r="N94" s="52"/>
      <c r="O94" s="51">
        <v>-5636.6</v>
      </c>
      <c r="P94" s="50">
        <v>-1.6955</v>
      </c>
      <c r="Q94" s="6"/>
      <c r="R94" s="52"/>
      <c r="S94" s="6"/>
      <c r="T94" s="52"/>
      <c r="U94" s="51">
        <v>-5636.99</v>
      </c>
      <c r="V94" s="50">
        <v>-1.698515</v>
      </c>
      <c r="W94" s="6"/>
      <c r="X94" s="52"/>
      <c r="Y94" s="6"/>
      <c r="Z94" s="52"/>
      <c r="AA94" s="51">
        <v>-5637.76</v>
      </c>
      <c r="AB94" s="50">
        <v>-1.6889125</v>
      </c>
      <c r="AC94" s="6"/>
      <c r="AD94" s="52"/>
      <c r="AE94" s="6"/>
      <c r="AF94" s="52"/>
      <c r="AG94" s="51">
        <v>-5641.31</v>
      </c>
      <c r="AH94" s="50">
        <v>-1.69407</v>
      </c>
      <c r="AI94" s="6"/>
      <c r="AJ94" s="52"/>
    </row>
    <row x14ac:dyDescent="0.25" r="95" customHeight="1" ht="17.25">
      <c r="A95" s="11">
        <v>-5882.8</v>
      </c>
      <c r="B95" s="50">
        <v>-1.7182549999999999</v>
      </c>
      <c r="C95" s="51">
        <v>-5881.1</v>
      </c>
      <c r="D95" s="50">
        <v>-1.69455</v>
      </c>
      <c r="E95" s="51">
        <v>-5880.91</v>
      </c>
      <c r="F95" s="50">
        <v>-1.7026824999999999</v>
      </c>
      <c r="G95" s="51">
        <v>-5881.8</v>
      </c>
      <c r="H95" s="50">
        <v>-1.7077475</v>
      </c>
      <c r="I95" s="51">
        <v>-5881.67</v>
      </c>
      <c r="J95" s="50">
        <v>-1.7057200000000001</v>
      </c>
      <c r="K95" s="51">
        <v>-5882.41</v>
      </c>
      <c r="L95" s="50">
        <v>-1.7014375</v>
      </c>
      <c r="M95" s="6"/>
      <c r="N95" s="52"/>
      <c r="O95" s="51">
        <v>-5881.82</v>
      </c>
      <c r="P95" s="50">
        <v>-1.70376</v>
      </c>
      <c r="Q95" s="6"/>
      <c r="R95" s="52"/>
      <c r="S95" s="6"/>
      <c r="T95" s="52"/>
      <c r="U95" s="51">
        <v>-5882.04</v>
      </c>
      <c r="V95" s="50">
        <v>-1.7064849999999998</v>
      </c>
      <c r="W95" s="6"/>
      <c r="X95" s="52"/>
      <c r="Y95" s="6"/>
      <c r="Z95" s="52"/>
      <c r="AA95" s="51">
        <v>-5883</v>
      </c>
      <c r="AB95" s="50">
        <v>-1.6973725</v>
      </c>
      <c r="AC95" s="6"/>
      <c r="AD95" s="52"/>
      <c r="AE95" s="6"/>
      <c r="AF95" s="52"/>
      <c r="AG95" s="51">
        <v>-5886.48</v>
      </c>
      <c r="AH95" s="50">
        <v>-1.7025</v>
      </c>
      <c r="AI95" s="6"/>
      <c r="AJ95" s="52"/>
    </row>
    <row x14ac:dyDescent="0.25" r="96" customHeight="1" ht="17.25">
      <c r="A96" s="11">
        <v>-6128.16</v>
      </c>
      <c r="B96" s="50">
        <v>-1.725925</v>
      </c>
      <c r="C96" s="51">
        <v>-6126.31</v>
      </c>
      <c r="D96" s="50">
        <v>-1.7023</v>
      </c>
      <c r="E96" s="51">
        <v>-6126.03</v>
      </c>
      <c r="F96" s="50">
        <v>-1.7104525</v>
      </c>
      <c r="G96" s="51">
        <v>-6127.03</v>
      </c>
      <c r="H96" s="50">
        <v>-1.7153874999999998</v>
      </c>
      <c r="I96" s="51">
        <v>-6126.9</v>
      </c>
      <c r="J96" s="50">
        <v>-1.71367</v>
      </c>
      <c r="K96" s="51">
        <v>-6127.52</v>
      </c>
      <c r="L96" s="50">
        <v>-1.7093274999999999</v>
      </c>
      <c r="M96" s="6"/>
      <c r="N96" s="52"/>
      <c r="O96" s="51">
        <v>-6126.88</v>
      </c>
      <c r="P96" s="50">
        <v>-1.71172</v>
      </c>
      <c r="Q96" s="6"/>
      <c r="R96" s="52"/>
      <c r="S96" s="6"/>
      <c r="T96" s="52"/>
      <c r="U96" s="51">
        <v>-6127.07</v>
      </c>
      <c r="V96" s="50">
        <v>-1.7142249999999999</v>
      </c>
      <c r="W96" s="6"/>
      <c r="X96" s="52"/>
      <c r="Y96" s="6"/>
      <c r="Z96" s="52"/>
      <c r="AA96" s="51">
        <v>-6128.11</v>
      </c>
      <c r="AB96" s="50">
        <v>-1.7054425</v>
      </c>
      <c r="AC96" s="6"/>
      <c r="AD96" s="52"/>
      <c r="AE96" s="6"/>
      <c r="AF96" s="52"/>
      <c r="AG96" s="51">
        <v>-6132.09</v>
      </c>
      <c r="AH96" s="50">
        <v>-1.71052</v>
      </c>
      <c r="AI96" s="6"/>
      <c r="AJ96" s="52"/>
    </row>
    <row x14ac:dyDescent="0.25" r="97" customHeight="1" ht="17.25">
      <c r="A97" s="11">
        <v>-6373.17</v>
      </c>
      <c r="B97" s="50">
        <v>-1.733395</v>
      </c>
      <c r="C97" s="51">
        <v>-6371.24</v>
      </c>
      <c r="D97" s="50">
        <v>-1.7098</v>
      </c>
      <c r="E97" s="51">
        <v>-6371.11</v>
      </c>
      <c r="F97" s="50">
        <v>-1.7179825</v>
      </c>
      <c r="G97" s="51">
        <v>-6372.05</v>
      </c>
      <c r="H97" s="50">
        <v>-1.7227975</v>
      </c>
      <c r="I97" s="51">
        <v>-6371.74</v>
      </c>
      <c r="J97" s="50">
        <v>-1.7213100000000001</v>
      </c>
      <c r="K97" s="51">
        <v>-6372.82</v>
      </c>
      <c r="L97" s="50">
        <v>-1.7169375</v>
      </c>
      <c r="M97" s="6"/>
      <c r="N97" s="52"/>
      <c r="O97" s="51">
        <v>-6371.93</v>
      </c>
      <c r="P97" s="50">
        <v>-1.71932</v>
      </c>
      <c r="Q97" s="6"/>
      <c r="R97" s="52"/>
      <c r="S97" s="6"/>
      <c r="T97" s="52"/>
      <c r="U97" s="51">
        <v>-6372.02</v>
      </c>
      <c r="V97" s="50">
        <v>-1.721685</v>
      </c>
      <c r="W97" s="6"/>
      <c r="X97" s="52"/>
      <c r="Y97" s="6"/>
      <c r="Z97" s="52"/>
      <c r="AA97" s="51">
        <v>-6373.16</v>
      </c>
      <c r="AB97" s="50">
        <v>-1.7132025</v>
      </c>
      <c r="AC97" s="6"/>
      <c r="AD97" s="52"/>
      <c r="AE97" s="6"/>
      <c r="AF97" s="52"/>
      <c r="AG97" s="51">
        <v>-6377.31</v>
      </c>
      <c r="AH97" s="50">
        <v>-1.71824</v>
      </c>
      <c r="AI97" s="6"/>
      <c r="AJ97" s="52"/>
    </row>
    <row x14ac:dyDescent="0.25" r="98" customHeight="1" ht="17.25">
      <c r="A98" s="11">
        <v>-6618.34</v>
      </c>
      <c r="B98" s="50">
        <v>-1.7403549999999999</v>
      </c>
      <c r="C98" s="51">
        <v>-6616.28</v>
      </c>
      <c r="D98" s="50">
        <v>-1.71699</v>
      </c>
      <c r="E98" s="51">
        <v>-6616.04</v>
      </c>
      <c r="F98" s="50">
        <v>-1.7253125</v>
      </c>
      <c r="G98" s="51">
        <v>-6617.3</v>
      </c>
      <c r="H98" s="50">
        <v>-1.7300175000000002</v>
      </c>
      <c r="I98" s="51">
        <v>-6616.85</v>
      </c>
      <c r="J98" s="50">
        <v>-1.7286700000000002</v>
      </c>
      <c r="K98" s="51">
        <v>-6617.89</v>
      </c>
      <c r="L98" s="50">
        <v>-1.7242275</v>
      </c>
      <c r="M98" s="6"/>
      <c r="N98" s="52"/>
      <c r="O98" s="51">
        <v>-6616.85</v>
      </c>
      <c r="P98" s="50">
        <v>-1.7267</v>
      </c>
      <c r="Q98" s="6"/>
      <c r="R98" s="52"/>
      <c r="S98" s="6"/>
      <c r="T98" s="52"/>
      <c r="U98" s="51">
        <v>-6617.05</v>
      </c>
      <c r="V98" s="50">
        <v>-1.728885</v>
      </c>
      <c r="W98" s="6"/>
      <c r="X98" s="52"/>
      <c r="Y98" s="6"/>
      <c r="Z98" s="52"/>
      <c r="AA98" s="51">
        <v>-6618.27</v>
      </c>
      <c r="AB98" s="50">
        <v>-1.7206525000000001</v>
      </c>
      <c r="AC98" s="6"/>
      <c r="AD98" s="52"/>
      <c r="AE98" s="6"/>
      <c r="AF98" s="52"/>
      <c r="AG98" s="51">
        <v>-6622.41</v>
      </c>
      <c r="AH98" s="50">
        <v>-1.72563</v>
      </c>
      <c r="AI98" s="6"/>
      <c r="AJ98" s="52"/>
    </row>
    <row x14ac:dyDescent="0.25" r="99" customHeight="1" ht="17.25">
      <c r="A99" s="11">
        <v>-6863.52</v>
      </c>
      <c r="B99" s="50">
        <v>-1.747275</v>
      </c>
      <c r="C99" s="51">
        <v>-6861.37</v>
      </c>
      <c r="D99" s="50">
        <v>-1.72396</v>
      </c>
      <c r="E99" s="51">
        <v>-6860.94</v>
      </c>
      <c r="F99" s="50">
        <v>-1.7324125</v>
      </c>
      <c r="G99" s="51">
        <v>-6862.38</v>
      </c>
      <c r="H99" s="50">
        <v>-1.7369375000000002</v>
      </c>
      <c r="I99" s="51">
        <v>-6861.92</v>
      </c>
      <c r="J99" s="50">
        <v>-1.7356500000000001</v>
      </c>
      <c r="K99" s="51">
        <v>-6863.04</v>
      </c>
      <c r="L99" s="50">
        <v>-1.7312975</v>
      </c>
      <c r="M99" s="6"/>
      <c r="N99" s="52"/>
      <c r="O99" s="51">
        <v>-6861.97</v>
      </c>
      <c r="P99" s="50">
        <v>-1.73377</v>
      </c>
      <c r="Q99" s="6"/>
      <c r="R99" s="52"/>
      <c r="S99" s="6"/>
      <c r="T99" s="52"/>
      <c r="U99" s="51">
        <v>-6862.05</v>
      </c>
      <c r="V99" s="50">
        <v>-1.7358250000000002</v>
      </c>
      <c r="W99" s="6"/>
      <c r="X99" s="52"/>
      <c r="Y99" s="6"/>
      <c r="Z99" s="52"/>
      <c r="AA99" s="51">
        <v>-6863.52</v>
      </c>
      <c r="AB99" s="50">
        <v>-1.7277725000000002</v>
      </c>
      <c r="AC99" s="6"/>
      <c r="AD99" s="52"/>
      <c r="AE99" s="6"/>
      <c r="AF99" s="52"/>
      <c r="AG99" s="51">
        <v>-6867.67</v>
      </c>
      <c r="AH99" s="50">
        <v>-1.73284</v>
      </c>
      <c r="AI99" s="6"/>
      <c r="AJ99" s="52"/>
    </row>
    <row x14ac:dyDescent="0.25" r="100" customHeight="1" ht="17.25">
      <c r="A100" s="11">
        <v>-7108.66</v>
      </c>
      <c r="B100" s="50">
        <v>-1.753965</v>
      </c>
      <c r="C100" s="51">
        <v>-7106.41</v>
      </c>
      <c r="D100" s="50">
        <v>-1.73072</v>
      </c>
      <c r="E100" s="51">
        <v>-7106.07</v>
      </c>
      <c r="F100" s="50">
        <v>-1.7392325</v>
      </c>
      <c r="G100" s="51">
        <v>-7107.44</v>
      </c>
      <c r="H100" s="50">
        <v>-1.7435975</v>
      </c>
      <c r="I100" s="51">
        <v>-7106.89</v>
      </c>
      <c r="J100" s="50">
        <v>-1.7424600000000001</v>
      </c>
      <c r="K100" s="51">
        <v>-7108.37</v>
      </c>
      <c r="L100" s="50">
        <v>-1.7381775</v>
      </c>
      <c r="M100" s="6"/>
      <c r="N100" s="52"/>
      <c r="O100" s="51">
        <v>-7106.96</v>
      </c>
      <c r="P100" s="50">
        <v>-1.7405899999999999</v>
      </c>
      <c r="Q100" s="6"/>
      <c r="R100" s="52"/>
      <c r="S100" s="6"/>
      <c r="T100" s="52"/>
      <c r="U100" s="51">
        <v>-7107.04</v>
      </c>
      <c r="V100" s="50">
        <v>-1.742515</v>
      </c>
      <c r="W100" s="6"/>
      <c r="X100" s="52"/>
      <c r="Y100" s="6"/>
      <c r="Z100" s="52"/>
      <c r="AA100" s="51">
        <v>-7108.48</v>
      </c>
      <c r="AB100" s="50">
        <v>-1.7347225</v>
      </c>
      <c r="AC100" s="6"/>
      <c r="AD100" s="52"/>
      <c r="AE100" s="6"/>
      <c r="AF100" s="52"/>
      <c r="AG100" s="51">
        <v>-7113.08</v>
      </c>
      <c r="AH100" s="50">
        <v>-1.73973</v>
      </c>
      <c r="AI100" s="6"/>
      <c r="AJ100" s="52"/>
    </row>
    <row x14ac:dyDescent="0.25" r="101" customHeight="1" ht="17.25">
      <c r="A101" s="11">
        <v>-7353.76</v>
      </c>
      <c r="B101" s="50">
        <v>-1.760465</v>
      </c>
      <c r="C101" s="51">
        <v>-7351.47</v>
      </c>
      <c r="D101" s="50">
        <v>-1.73728</v>
      </c>
      <c r="E101" s="51">
        <v>-7350.99</v>
      </c>
      <c r="F101" s="50">
        <v>-1.7457525</v>
      </c>
      <c r="G101" s="51">
        <v>-7352.56</v>
      </c>
      <c r="H101" s="50">
        <v>-1.7500575</v>
      </c>
      <c r="I101" s="51">
        <v>-7352.06</v>
      </c>
      <c r="J101" s="50">
        <v>-1.7490800000000002</v>
      </c>
      <c r="K101" s="51">
        <v>-7353.31</v>
      </c>
      <c r="L101" s="50">
        <v>-1.7449275</v>
      </c>
      <c r="M101" s="6"/>
      <c r="N101" s="52"/>
      <c r="O101" s="51">
        <v>-7351.99</v>
      </c>
      <c r="P101" s="50">
        <v>-1.74722</v>
      </c>
      <c r="Q101" s="6"/>
      <c r="R101" s="52"/>
      <c r="S101" s="6"/>
      <c r="T101" s="52"/>
      <c r="U101" s="51">
        <v>-7352.1</v>
      </c>
      <c r="V101" s="50">
        <v>-1.7491349999999999</v>
      </c>
      <c r="W101" s="6"/>
      <c r="X101" s="52"/>
      <c r="Y101" s="6"/>
      <c r="Z101" s="52"/>
      <c r="AA101" s="51">
        <v>-7353.67</v>
      </c>
      <c r="AB101" s="50">
        <v>-1.7415325000000001</v>
      </c>
      <c r="AC101" s="6"/>
      <c r="AD101" s="52"/>
      <c r="AE101" s="6"/>
      <c r="AF101" s="52"/>
      <c r="AG101" s="51">
        <v>-7358.34</v>
      </c>
      <c r="AH101" s="50">
        <v>-1.74647</v>
      </c>
      <c r="AI101" s="6"/>
      <c r="AJ101" s="52"/>
    </row>
    <row x14ac:dyDescent="0.25" r="102" customHeight="1" ht="17.25">
      <c r="A102" s="11">
        <v>-7598.81</v>
      </c>
      <c r="B102" s="50">
        <v>-1.766775</v>
      </c>
      <c r="C102" s="51">
        <v>-7596.48</v>
      </c>
      <c r="D102" s="50">
        <v>-1.74369</v>
      </c>
      <c r="E102" s="51">
        <v>-7595.98</v>
      </c>
      <c r="F102" s="50">
        <v>-1.7522525</v>
      </c>
      <c r="G102" s="51">
        <v>-7597.41</v>
      </c>
      <c r="H102" s="50">
        <v>-1.7563675</v>
      </c>
      <c r="I102" s="51">
        <v>-7596.92</v>
      </c>
      <c r="J102" s="50">
        <v>-1.7555500000000002</v>
      </c>
      <c r="K102" s="51">
        <v>-7598.3</v>
      </c>
      <c r="L102" s="50">
        <v>-1.7514075</v>
      </c>
      <c r="M102" s="6"/>
      <c r="N102" s="52"/>
      <c r="O102" s="51">
        <v>-7597.13</v>
      </c>
      <c r="P102" s="50">
        <v>-1.75372</v>
      </c>
      <c r="Q102" s="6"/>
      <c r="R102" s="52"/>
      <c r="S102" s="6"/>
      <c r="T102" s="52"/>
      <c r="U102" s="51">
        <v>-7597.19</v>
      </c>
      <c r="V102" s="50">
        <v>-1.7554349999999999</v>
      </c>
      <c r="W102" s="6"/>
      <c r="X102" s="52"/>
      <c r="Y102" s="6"/>
      <c r="Z102" s="52"/>
      <c r="AA102" s="51">
        <v>-7598.69</v>
      </c>
      <c r="AB102" s="50">
        <v>-1.7480425</v>
      </c>
      <c r="AC102" s="6"/>
      <c r="AD102" s="52"/>
      <c r="AE102" s="6"/>
      <c r="AF102" s="52"/>
      <c r="AG102" s="51">
        <v>-7603.51</v>
      </c>
      <c r="AH102" s="50">
        <v>-1.75299</v>
      </c>
      <c r="AI102" s="6"/>
      <c r="AJ102" s="52"/>
    </row>
    <row x14ac:dyDescent="0.25" r="103" customHeight="1" ht="17.25">
      <c r="A103" s="11">
        <v>-7843.9</v>
      </c>
      <c r="B103" s="50">
        <v>-1.7728949999999999</v>
      </c>
      <c r="C103" s="51">
        <v>-7841.55</v>
      </c>
      <c r="D103" s="50">
        <v>-1.74989</v>
      </c>
      <c r="E103" s="51">
        <v>-7841.16</v>
      </c>
      <c r="F103" s="50">
        <v>-1.7586525</v>
      </c>
      <c r="G103" s="51">
        <v>-7842.5</v>
      </c>
      <c r="H103" s="50">
        <v>-1.7626374999999999</v>
      </c>
      <c r="I103" s="51">
        <v>-7842.13</v>
      </c>
      <c r="J103" s="50">
        <v>-1.76184</v>
      </c>
      <c r="K103" s="51">
        <v>-7843.55</v>
      </c>
      <c r="L103" s="50">
        <v>-1.7576875</v>
      </c>
      <c r="M103" s="6"/>
      <c r="N103" s="52"/>
      <c r="O103" s="51">
        <v>-7842.36</v>
      </c>
      <c r="P103" s="50">
        <v>-1.75999</v>
      </c>
      <c r="Q103" s="6"/>
      <c r="R103" s="52"/>
      <c r="S103" s="6"/>
      <c r="T103" s="52"/>
      <c r="U103" s="51">
        <v>-7842.3</v>
      </c>
      <c r="V103" s="50">
        <v>-1.761565</v>
      </c>
      <c r="W103" s="6"/>
      <c r="X103" s="52"/>
      <c r="Y103" s="6"/>
      <c r="Z103" s="52"/>
      <c r="AA103" s="51">
        <v>-7843.79</v>
      </c>
      <c r="AB103" s="50">
        <v>-1.7544525</v>
      </c>
      <c r="AC103" s="6"/>
      <c r="AD103" s="52"/>
      <c r="AE103" s="6"/>
      <c r="AF103" s="52"/>
      <c r="AG103" s="51">
        <v>-7848.9</v>
      </c>
      <c r="AH103" s="50">
        <v>-1.75937</v>
      </c>
      <c r="AI103" s="6"/>
      <c r="AJ103" s="52"/>
    </row>
    <row x14ac:dyDescent="0.25" r="104" customHeight="1" ht="17.25">
      <c r="A104" s="11">
        <v>-8089.21</v>
      </c>
      <c r="B104" s="50">
        <v>-1.7789549999999998</v>
      </c>
      <c r="C104" s="51">
        <v>-8086.67</v>
      </c>
      <c r="D104" s="50">
        <v>-1.7559</v>
      </c>
      <c r="E104" s="51">
        <v>-8086.21</v>
      </c>
      <c r="F104" s="50">
        <v>-1.7647424999999999</v>
      </c>
      <c r="G104" s="51">
        <v>-8087.91</v>
      </c>
      <c r="H104" s="50">
        <v>-1.7685974999999998</v>
      </c>
      <c r="I104" s="51">
        <v>-8087.33</v>
      </c>
      <c r="J104" s="50">
        <v>-1.76798</v>
      </c>
      <c r="K104" s="51">
        <v>-8088.6</v>
      </c>
      <c r="L104" s="50">
        <v>-1.7637675</v>
      </c>
      <c r="M104" s="6"/>
      <c r="N104" s="52"/>
      <c r="O104" s="51">
        <v>-8087.56</v>
      </c>
      <c r="P104" s="50">
        <v>-1.7661</v>
      </c>
      <c r="Q104" s="6"/>
      <c r="R104" s="52"/>
      <c r="S104" s="6"/>
      <c r="T104" s="52"/>
      <c r="U104" s="51">
        <v>-8087.45</v>
      </c>
      <c r="V104" s="50">
        <v>-1.767535</v>
      </c>
      <c r="W104" s="6"/>
      <c r="X104" s="52"/>
      <c r="Y104" s="6"/>
      <c r="Z104" s="52"/>
      <c r="AA104" s="51">
        <v>-8088.89</v>
      </c>
      <c r="AB104" s="50">
        <v>-1.7606925</v>
      </c>
      <c r="AC104" s="6"/>
      <c r="AD104" s="52"/>
      <c r="AE104" s="6"/>
      <c r="AF104" s="52"/>
      <c r="AG104" s="51">
        <v>-8094.29</v>
      </c>
      <c r="AH104" s="50">
        <v>-1.76555</v>
      </c>
      <c r="AI104" s="6"/>
      <c r="AJ104" s="52"/>
    </row>
    <row x14ac:dyDescent="0.25" r="105" customHeight="1" ht="17.25">
      <c r="A105" s="11">
        <v>-8334.24</v>
      </c>
      <c r="B105" s="50">
        <v>-1.784815</v>
      </c>
      <c r="C105" s="51">
        <v>-8331.8</v>
      </c>
      <c r="D105" s="50">
        <v>-1.76173</v>
      </c>
      <c r="E105" s="51">
        <v>-8331.27</v>
      </c>
      <c r="F105" s="50">
        <v>-1.7706225</v>
      </c>
      <c r="G105" s="51">
        <v>-8333.06</v>
      </c>
      <c r="H105" s="50">
        <v>-1.7744875000000002</v>
      </c>
      <c r="I105" s="51">
        <v>-8332.37</v>
      </c>
      <c r="J105" s="50">
        <v>-1.77401</v>
      </c>
      <c r="K105" s="51">
        <v>-8333.74</v>
      </c>
      <c r="L105" s="50">
        <v>-1.7696574999999999</v>
      </c>
      <c r="M105" s="6"/>
      <c r="N105" s="52"/>
      <c r="O105" s="51">
        <v>-8332.74</v>
      </c>
      <c r="P105" s="50">
        <v>-1.77205</v>
      </c>
      <c r="Q105" s="6"/>
      <c r="R105" s="52"/>
      <c r="S105" s="6"/>
      <c r="T105" s="52"/>
      <c r="U105" s="51">
        <v>-8332.5</v>
      </c>
      <c r="V105" s="50">
        <v>-1.773405</v>
      </c>
      <c r="W105" s="6"/>
      <c r="X105" s="52"/>
      <c r="Y105" s="6"/>
      <c r="Z105" s="52"/>
      <c r="AA105" s="51">
        <v>-8334.22</v>
      </c>
      <c r="AB105" s="50">
        <v>-1.7667025</v>
      </c>
      <c r="AC105" s="6"/>
      <c r="AD105" s="52"/>
      <c r="AE105" s="6"/>
      <c r="AF105" s="52"/>
      <c r="AG105" s="51">
        <v>-8339.58</v>
      </c>
      <c r="AH105" s="50">
        <v>-1.77153</v>
      </c>
      <c r="AI105" s="6"/>
      <c r="AJ105" s="52"/>
    </row>
    <row x14ac:dyDescent="0.25" r="106" customHeight="1" ht="17.25">
      <c r="A106" s="11">
        <v>-8579.52</v>
      </c>
      <c r="B106" s="50">
        <v>-1.790565</v>
      </c>
      <c r="C106" s="51">
        <v>-8576.79</v>
      </c>
      <c r="D106" s="50">
        <v>-1.76758</v>
      </c>
      <c r="E106" s="51">
        <v>-8576.29</v>
      </c>
      <c r="F106" s="50">
        <v>-1.7764625</v>
      </c>
      <c r="G106" s="51">
        <v>-8578.14</v>
      </c>
      <c r="H106" s="50">
        <v>-1.7801675000000001</v>
      </c>
      <c r="I106" s="51">
        <v>-8577.58</v>
      </c>
      <c r="J106" s="50">
        <v>-1.7798200000000002</v>
      </c>
      <c r="K106" s="51">
        <v>-8578.85</v>
      </c>
      <c r="L106" s="50">
        <v>-1.7754675</v>
      </c>
      <c r="M106" s="6"/>
      <c r="N106" s="52"/>
      <c r="O106" s="51">
        <v>-8577.7</v>
      </c>
      <c r="P106" s="50">
        <v>-1.77788</v>
      </c>
      <c r="Q106" s="6"/>
      <c r="R106" s="52"/>
      <c r="S106" s="6"/>
      <c r="T106" s="52"/>
      <c r="U106" s="51">
        <v>-8577.83</v>
      </c>
      <c r="V106" s="50">
        <v>-1.779175</v>
      </c>
      <c r="W106" s="6"/>
      <c r="X106" s="52"/>
      <c r="Y106" s="6"/>
      <c r="Z106" s="52"/>
      <c r="AA106" s="51">
        <v>-8579.28</v>
      </c>
      <c r="AB106" s="50">
        <v>-1.7726025</v>
      </c>
      <c r="AC106" s="6"/>
      <c r="AD106" s="52"/>
      <c r="AE106" s="6"/>
      <c r="AF106" s="52"/>
      <c r="AG106" s="51">
        <v>-8584.7</v>
      </c>
      <c r="AH106" s="50">
        <v>-1.77751</v>
      </c>
      <c r="AI106" s="6"/>
      <c r="AJ106" s="52"/>
    </row>
    <row x14ac:dyDescent="0.25" r="107" customHeight="1" ht="17.25">
      <c r="A107" s="11">
        <v>-8824.5</v>
      </c>
      <c r="B107" s="50">
        <v>-1.796185</v>
      </c>
      <c r="C107" s="51">
        <v>-8821.8</v>
      </c>
      <c r="D107" s="50">
        <v>-1.7731999999999999</v>
      </c>
      <c r="E107" s="51">
        <v>-8821.26</v>
      </c>
      <c r="F107" s="50">
        <v>-1.7821624999999999</v>
      </c>
      <c r="G107" s="51">
        <v>-8823.35</v>
      </c>
      <c r="H107" s="50">
        <v>-1.7858475</v>
      </c>
      <c r="I107" s="51">
        <v>-8822.5</v>
      </c>
      <c r="J107" s="50">
        <v>-1.78557</v>
      </c>
      <c r="K107" s="51">
        <v>-8824.03</v>
      </c>
      <c r="L107" s="50">
        <v>-1.7811075</v>
      </c>
      <c r="M107" s="6"/>
      <c r="N107" s="52"/>
      <c r="O107" s="51">
        <v>-8822.89</v>
      </c>
      <c r="P107" s="50">
        <v>-1.78355</v>
      </c>
      <c r="Q107" s="6"/>
      <c r="R107" s="52"/>
      <c r="S107" s="6"/>
      <c r="T107" s="52"/>
      <c r="U107" s="51">
        <v>-8822.88</v>
      </c>
      <c r="V107" s="50">
        <v>-1.784745</v>
      </c>
      <c r="W107" s="6"/>
      <c r="X107" s="52"/>
      <c r="Y107" s="6"/>
      <c r="Z107" s="52"/>
      <c r="AA107" s="51">
        <v>-8824.26</v>
      </c>
      <c r="AB107" s="50">
        <v>-1.7783625</v>
      </c>
      <c r="AC107" s="6"/>
      <c r="AD107" s="52"/>
      <c r="AE107" s="6"/>
      <c r="AF107" s="52"/>
      <c r="AG107" s="51">
        <v>-8830.02</v>
      </c>
      <c r="AH107" s="50">
        <v>-1.78326</v>
      </c>
      <c r="AI107" s="6"/>
      <c r="AJ107" s="52"/>
    </row>
    <row x14ac:dyDescent="0.25" r="108" customHeight="1" ht="17.25">
      <c r="A108" s="11">
        <v>-9069.87</v>
      </c>
      <c r="B108" s="50">
        <v>-1.801645</v>
      </c>
      <c r="C108" s="51">
        <v>-9066.99</v>
      </c>
      <c r="D108" s="50">
        <v>-1.7786899999999999</v>
      </c>
      <c r="E108" s="51">
        <v>-9066.36</v>
      </c>
      <c r="F108" s="50">
        <v>-1.7876925</v>
      </c>
      <c r="G108" s="51">
        <v>-9068.28</v>
      </c>
      <c r="H108" s="50">
        <v>-1.7912775</v>
      </c>
      <c r="I108" s="51">
        <v>-9067.8</v>
      </c>
      <c r="J108" s="50">
        <v>-1.79119</v>
      </c>
      <c r="K108" s="51">
        <v>-9069.04</v>
      </c>
      <c r="L108" s="50">
        <v>-1.7866175</v>
      </c>
      <c r="M108" s="6"/>
      <c r="N108" s="52"/>
      <c r="O108" s="51">
        <v>-9067.75</v>
      </c>
      <c r="P108" s="50">
        <v>-1.7890599999999999</v>
      </c>
      <c r="Q108" s="6"/>
      <c r="R108" s="52"/>
      <c r="S108" s="6"/>
      <c r="T108" s="52"/>
      <c r="U108" s="51">
        <v>-9068.06</v>
      </c>
      <c r="V108" s="50">
        <v>-1.790155</v>
      </c>
      <c r="W108" s="6"/>
      <c r="X108" s="52"/>
      <c r="Y108" s="6"/>
      <c r="Z108" s="52"/>
      <c r="AA108" s="51">
        <v>-9069.65</v>
      </c>
      <c r="AB108" s="50">
        <v>-1.7839825</v>
      </c>
      <c r="AC108" s="6"/>
      <c r="AD108" s="52"/>
      <c r="AE108" s="6"/>
      <c r="AF108" s="52"/>
      <c r="AG108" s="51">
        <v>-9075.45</v>
      </c>
      <c r="AH108" s="50">
        <v>-1.78892</v>
      </c>
      <c r="AI108" s="6"/>
      <c r="AJ108" s="52"/>
    </row>
    <row x14ac:dyDescent="0.25" r="109" customHeight="1" ht="17.25">
      <c r="A109" s="11">
        <v>-9315.14</v>
      </c>
      <c r="B109" s="50">
        <v>-1.807075</v>
      </c>
      <c r="C109" s="51">
        <v>-9312.16</v>
      </c>
      <c r="D109" s="50">
        <v>-1.78402</v>
      </c>
      <c r="E109" s="51">
        <v>-9311.68</v>
      </c>
      <c r="F109" s="50">
        <v>-1.7931424999999999</v>
      </c>
      <c r="G109" s="51">
        <v>-9313.49</v>
      </c>
      <c r="H109" s="50">
        <v>-1.7966674999999999</v>
      </c>
      <c r="I109" s="51">
        <v>-9313.03</v>
      </c>
      <c r="J109" s="50">
        <v>-1.79654</v>
      </c>
      <c r="K109" s="51">
        <v>-9314.39</v>
      </c>
      <c r="L109" s="50">
        <v>-1.7920575</v>
      </c>
      <c r="M109" s="6"/>
      <c r="N109" s="52"/>
      <c r="O109" s="51">
        <v>-9312.73</v>
      </c>
      <c r="P109" s="50">
        <v>-1.79444</v>
      </c>
      <c r="Q109" s="6"/>
      <c r="R109" s="52"/>
      <c r="S109" s="6"/>
      <c r="T109" s="52"/>
      <c r="U109" s="51">
        <v>-9313.19</v>
      </c>
      <c r="V109" s="50">
        <v>-1.7956050000000001</v>
      </c>
      <c r="W109" s="6"/>
      <c r="X109" s="52"/>
      <c r="Y109" s="6"/>
      <c r="Z109" s="52"/>
      <c r="AA109" s="51">
        <v>-9314.83</v>
      </c>
      <c r="AB109" s="50">
        <v>-1.7896025</v>
      </c>
      <c r="AC109" s="6"/>
      <c r="AD109" s="52"/>
      <c r="AE109" s="6"/>
      <c r="AF109" s="52"/>
      <c r="AG109" s="51">
        <v>-9320.75</v>
      </c>
      <c r="AH109" s="50">
        <v>-1.79446</v>
      </c>
      <c r="AI109" s="6"/>
      <c r="AJ109" s="52"/>
    </row>
    <row x14ac:dyDescent="0.25" r="110" customHeight="1" ht="17.25">
      <c r="A110" s="11">
        <v>-9560.23</v>
      </c>
      <c r="B110" s="50">
        <v>-1.8124049999999998</v>
      </c>
      <c r="C110" s="51">
        <v>-9557.27</v>
      </c>
      <c r="D110" s="50">
        <v>-1.78926</v>
      </c>
      <c r="E110" s="51">
        <v>-9556.57</v>
      </c>
      <c r="F110" s="50">
        <v>-1.7984225</v>
      </c>
      <c r="G110" s="51">
        <v>-9558.51</v>
      </c>
      <c r="H110" s="50">
        <v>-1.8019675</v>
      </c>
      <c r="I110" s="51">
        <v>-9558.11</v>
      </c>
      <c r="J110" s="50">
        <v>-1.8019100000000001</v>
      </c>
      <c r="K110" s="51">
        <v>-9559.54</v>
      </c>
      <c r="L110" s="50">
        <v>-1.7973175</v>
      </c>
      <c r="M110" s="6"/>
      <c r="N110" s="52"/>
      <c r="O110" s="51">
        <v>-9557.93</v>
      </c>
      <c r="P110" s="50">
        <v>-1.7998399999999999</v>
      </c>
      <c r="Q110" s="6"/>
      <c r="R110" s="52"/>
      <c r="S110" s="6"/>
      <c r="T110" s="52"/>
      <c r="U110" s="51">
        <v>-9558.14</v>
      </c>
      <c r="V110" s="50">
        <v>-1.8009050000000002</v>
      </c>
      <c r="W110" s="6"/>
      <c r="X110" s="52"/>
      <c r="Y110" s="6"/>
      <c r="Z110" s="52"/>
      <c r="AA110" s="51">
        <v>-9560.09</v>
      </c>
      <c r="AB110" s="50">
        <v>-1.7949325</v>
      </c>
      <c r="AC110" s="6"/>
      <c r="AD110" s="52"/>
      <c r="AE110" s="6"/>
      <c r="AF110" s="52"/>
      <c r="AG110" s="51">
        <v>-9565.8</v>
      </c>
      <c r="AH110" s="50">
        <v>-1.79993</v>
      </c>
      <c r="AI110" s="6"/>
      <c r="AJ110" s="52"/>
    </row>
    <row x14ac:dyDescent="0.25" r="111" customHeight="1" ht="17.25">
      <c r="A111" s="11">
        <v>-9805.47</v>
      </c>
      <c r="B111" s="50">
        <v>-1.817585</v>
      </c>
      <c r="C111" s="51">
        <v>-9802.24</v>
      </c>
      <c r="D111" s="50">
        <v>-1.79449</v>
      </c>
      <c r="E111" s="51">
        <v>-9801.69</v>
      </c>
      <c r="F111" s="50">
        <v>-1.8036125</v>
      </c>
      <c r="G111" s="51">
        <v>-9803.6</v>
      </c>
      <c r="H111" s="50">
        <v>-1.8070374999999999</v>
      </c>
      <c r="I111" s="51">
        <v>-9803.4</v>
      </c>
      <c r="J111" s="50">
        <v>-1.80715</v>
      </c>
      <c r="K111" s="51">
        <v>-9804.72</v>
      </c>
      <c r="L111" s="50">
        <v>-1.8025475</v>
      </c>
      <c r="M111" s="6"/>
      <c r="N111" s="52"/>
      <c r="O111" s="51">
        <v>-9802.96</v>
      </c>
      <c r="P111" s="50">
        <v>-1.80504</v>
      </c>
      <c r="Q111" s="6"/>
      <c r="R111" s="52"/>
      <c r="S111" s="6"/>
      <c r="T111" s="52"/>
      <c r="U111" s="51">
        <v>-9803.36</v>
      </c>
      <c r="V111" s="50">
        <v>-1.806145</v>
      </c>
      <c r="W111" s="6"/>
      <c r="X111" s="52"/>
      <c r="Y111" s="6"/>
      <c r="Z111" s="52"/>
      <c r="AA111" s="51">
        <v>-9805.41</v>
      </c>
      <c r="AB111" s="50">
        <v>-1.8002425</v>
      </c>
      <c r="AC111" s="6"/>
      <c r="AD111" s="52"/>
      <c r="AE111" s="6"/>
      <c r="AF111" s="52"/>
      <c r="AG111" s="51">
        <v>-9811.17</v>
      </c>
      <c r="AH111" s="50">
        <v>-1.80524</v>
      </c>
      <c r="AI111" s="6"/>
      <c r="AJ111" s="52"/>
    </row>
    <row x14ac:dyDescent="0.25" r="112" customHeight="1" ht="17.25">
      <c r="A112" s="11">
        <v>-10050.9</v>
      </c>
      <c r="B112" s="50">
        <v>-1.822585</v>
      </c>
      <c r="C112" s="51">
        <v>-10047.4</v>
      </c>
      <c r="D112" s="50">
        <v>-1.79952</v>
      </c>
      <c r="E112" s="51">
        <v>-10046.8</v>
      </c>
      <c r="F112" s="50">
        <v>-1.8087324999999999</v>
      </c>
      <c r="G112" s="51">
        <v>-10048.7</v>
      </c>
      <c r="H112" s="50">
        <v>-1.8120375000000002</v>
      </c>
      <c r="I112" s="51">
        <v>-10048.4</v>
      </c>
      <c r="J112" s="50">
        <v>-1.81233</v>
      </c>
      <c r="K112" s="51">
        <v>-10049.7</v>
      </c>
      <c r="L112" s="50">
        <v>-1.8076275</v>
      </c>
      <c r="M112" s="6"/>
      <c r="N112" s="52"/>
      <c r="O112" s="51">
        <v>-10048</v>
      </c>
      <c r="P112" s="50">
        <v>-1.81016</v>
      </c>
      <c r="Q112" s="6"/>
      <c r="R112" s="52"/>
      <c r="S112" s="6"/>
      <c r="T112" s="52"/>
      <c r="U112" s="51">
        <v>-10048.4</v>
      </c>
      <c r="V112" s="50">
        <v>-1.811175</v>
      </c>
      <c r="W112" s="6"/>
      <c r="X112" s="52"/>
      <c r="Y112" s="6"/>
      <c r="Z112" s="52"/>
      <c r="AA112" s="51">
        <v>-10050.7</v>
      </c>
      <c r="AB112" s="50">
        <v>-1.8054725</v>
      </c>
      <c r="AC112" s="6"/>
      <c r="AD112" s="52"/>
      <c r="AE112" s="6"/>
      <c r="AF112" s="52"/>
      <c r="AG112" s="51">
        <v>-10056.2</v>
      </c>
      <c r="AH112" s="50">
        <v>-1.81035</v>
      </c>
      <c r="AI112" s="6"/>
      <c r="AJ112" s="52"/>
    </row>
    <row x14ac:dyDescent="0.25" r="113" customHeight="1" ht="17.25">
      <c r="A113" s="11">
        <v>-10296</v>
      </c>
      <c r="B113" s="50">
        <v>-1.8276249999999998</v>
      </c>
      <c r="C113" s="51">
        <v>-10292.5</v>
      </c>
      <c r="D113" s="50">
        <v>-1.80451</v>
      </c>
      <c r="E113" s="51">
        <v>-10291.9</v>
      </c>
      <c r="F113" s="50">
        <v>-1.8137425</v>
      </c>
      <c r="G113" s="51">
        <v>-10293.7</v>
      </c>
      <c r="H113" s="50">
        <v>-1.8170375</v>
      </c>
      <c r="I113" s="51">
        <v>-10293.4</v>
      </c>
      <c r="J113" s="50">
        <v>-1.81732</v>
      </c>
      <c r="K113" s="51">
        <v>-10294.9</v>
      </c>
      <c r="L113" s="50">
        <v>-1.8126075</v>
      </c>
      <c r="M113" s="6"/>
      <c r="N113" s="52"/>
      <c r="O113" s="51">
        <v>-10293.2</v>
      </c>
      <c r="P113" s="50">
        <v>-1.81511</v>
      </c>
      <c r="Q113" s="6"/>
      <c r="R113" s="52"/>
      <c r="S113" s="6"/>
      <c r="T113" s="52"/>
      <c r="U113" s="51">
        <v>-10293.5</v>
      </c>
      <c r="V113" s="50">
        <v>-1.8162250000000002</v>
      </c>
      <c r="W113" s="6"/>
      <c r="X113" s="52"/>
      <c r="Y113" s="6"/>
      <c r="Z113" s="52"/>
      <c r="AA113" s="51">
        <v>-10295.7</v>
      </c>
      <c r="AB113" s="50">
        <v>-1.8105625</v>
      </c>
      <c r="AC113" s="6"/>
      <c r="AD113" s="52"/>
      <c r="AE113" s="6"/>
      <c r="AF113" s="52"/>
      <c r="AG113" s="51">
        <v>-10301.6</v>
      </c>
      <c r="AH113" s="50">
        <v>-1.81534</v>
      </c>
      <c r="AI113" s="6"/>
      <c r="AJ113" s="52"/>
    </row>
    <row x14ac:dyDescent="0.25" r="114" customHeight="1" ht="17.25">
      <c r="A114" s="11">
        <v>-10541.1</v>
      </c>
      <c r="B114" s="50">
        <v>-1.8324049999999998</v>
      </c>
      <c r="C114" s="51">
        <v>-10537.7</v>
      </c>
      <c r="D114" s="50">
        <v>-1.80945</v>
      </c>
      <c r="E114" s="51">
        <v>-10536.9</v>
      </c>
      <c r="F114" s="50">
        <v>-1.8186125</v>
      </c>
      <c r="G114" s="51">
        <v>-10538.8</v>
      </c>
      <c r="H114" s="50">
        <v>-1.8218475</v>
      </c>
      <c r="I114" s="51">
        <v>-10538.5</v>
      </c>
      <c r="J114" s="50">
        <v>-1.8222500000000001</v>
      </c>
      <c r="K114" s="51">
        <v>-10540</v>
      </c>
      <c r="L114" s="50">
        <v>-1.8175675</v>
      </c>
      <c r="M114" s="6"/>
      <c r="N114" s="52"/>
      <c r="O114" s="51">
        <v>-10538.2</v>
      </c>
      <c r="P114" s="50">
        <v>-1.8200399999999999</v>
      </c>
      <c r="Q114" s="6"/>
      <c r="R114" s="52"/>
      <c r="S114" s="6"/>
      <c r="T114" s="52"/>
      <c r="U114" s="51">
        <v>-10538.5</v>
      </c>
      <c r="V114" s="50">
        <v>-1.821225</v>
      </c>
      <c r="W114" s="6"/>
      <c r="X114" s="52"/>
      <c r="Y114" s="6"/>
      <c r="Z114" s="52"/>
      <c r="AA114" s="51">
        <v>-10540.7</v>
      </c>
      <c r="AB114" s="50">
        <v>-1.8155525000000001</v>
      </c>
      <c r="AC114" s="6"/>
      <c r="AD114" s="52"/>
      <c r="AE114" s="6"/>
      <c r="AF114" s="52"/>
      <c r="AG114" s="51">
        <v>-10546.9</v>
      </c>
      <c r="AH114" s="50">
        <v>-1.8202800000000001</v>
      </c>
      <c r="AI114" s="6"/>
      <c r="AJ114" s="52"/>
    </row>
    <row x14ac:dyDescent="0.25" r="115" customHeight="1" ht="17.25">
      <c r="A115" s="11">
        <v>-10786.3</v>
      </c>
      <c r="B115" s="50">
        <v>-1.837305</v>
      </c>
      <c r="C115" s="51">
        <v>-10782.6</v>
      </c>
      <c r="D115" s="50">
        <v>-1.81429</v>
      </c>
      <c r="E115" s="51">
        <v>-10782.1</v>
      </c>
      <c r="F115" s="50">
        <v>-1.8233925</v>
      </c>
      <c r="G115" s="51">
        <v>-10783.9</v>
      </c>
      <c r="H115" s="50">
        <v>-1.8265675</v>
      </c>
      <c r="I115" s="51">
        <v>-10783.7</v>
      </c>
      <c r="J115" s="50">
        <v>-1.82702</v>
      </c>
      <c r="K115" s="51">
        <v>-10784.9</v>
      </c>
      <c r="L115" s="50">
        <v>-1.8223975</v>
      </c>
      <c r="M115" s="6"/>
      <c r="N115" s="52"/>
      <c r="O115" s="51">
        <v>-10783.5</v>
      </c>
      <c r="P115" s="50">
        <v>-1.8249</v>
      </c>
      <c r="Q115" s="6"/>
      <c r="R115" s="52"/>
      <c r="S115" s="6"/>
      <c r="T115" s="52"/>
      <c r="U115" s="51">
        <v>-10783.7</v>
      </c>
      <c r="V115" s="50">
        <v>-1.8261249999999998</v>
      </c>
      <c r="W115" s="6"/>
      <c r="X115" s="52"/>
      <c r="Y115" s="6"/>
      <c r="Z115" s="52"/>
      <c r="AA115" s="51">
        <v>-10785.8</v>
      </c>
      <c r="AB115" s="50">
        <v>-1.8203925</v>
      </c>
      <c r="AC115" s="6"/>
      <c r="AD115" s="52"/>
      <c r="AE115" s="6"/>
      <c r="AF115" s="52"/>
      <c r="AG115" s="51">
        <v>-10792.2</v>
      </c>
      <c r="AH115" s="50">
        <v>-1.82513</v>
      </c>
      <c r="AI115" s="6"/>
      <c r="AJ115" s="52"/>
    </row>
    <row x14ac:dyDescent="0.25" r="116" customHeight="1" ht="17.25">
      <c r="A116" s="11">
        <v>-11031</v>
      </c>
      <c r="B116" s="50">
        <v>-1.842045</v>
      </c>
      <c r="C116" s="51">
        <v>-11028</v>
      </c>
      <c r="D116" s="50">
        <v>-1.81902</v>
      </c>
      <c r="E116" s="51">
        <v>-11026.9</v>
      </c>
      <c r="F116" s="50">
        <v>-1.8280925</v>
      </c>
      <c r="G116" s="51">
        <v>-11029</v>
      </c>
      <c r="H116" s="50">
        <v>-1.8313175</v>
      </c>
      <c r="I116" s="51">
        <v>-11028.7</v>
      </c>
      <c r="J116" s="50">
        <v>-1.83169</v>
      </c>
      <c r="K116" s="51">
        <v>-11030.3</v>
      </c>
      <c r="L116" s="50">
        <v>-1.8271375</v>
      </c>
      <c r="M116" s="6"/>
      <c r="N116" s="52"/>
      <c r="O116" s="51">
        <v>-11028.4</v>
      </c>
      <c r="P116" s="50">
        <v>-1.82959</v>
      </c>
      <c r="Q116" s="6"/>
      <c r="R116" s="52"/>
      <c r="S116" s="6"/>
      <c r="T116" s="52"/>
      <c r="U116" s="51">
        <v>-11028.6</v>
      </c>
      <c r="V116" s="50">
        <v>-1.830825</v>
      </c>
      <c r="W116" s="6"/>
      <c r="X116" s="52"/>
      <c r="Y116" s="6"/>
      <c r="Z116" s="52"/>
      <c r="AA116" s="51">
        <v>-11030.9</v>
      </c>
      <c r="AB116" s="50">
        <v>-1.8252125000000001</v>
      </c>
      <c r="AC116" s="6"/>
      <c r="AD116" s="52"/>
      <c r="AE116" s="6"/>
      <c r="AF116" s="52"/>
      <c r="AG116" s="51">
        <v>-11037.5</v>
      </c>
      <c r="AH116" s="50">
        <v>-1.82998</v>
      </c>
      <c r="AI116" s="6"/>
      <c r="AJ116" s="52"/>
    </row>
    <row x14ac:dyDescent="0.25" r="117" customHeight="1" ht="17.25">
      <c r="A117" s="11">
        <v>-11276.5</v>
      </c>
      <c r="B117" s="50">
        <v>-1.8467449999999999</v>
      </c>
      <c r="C117" s="51">
        <v>-11273.1</v>
      </c>
      <c r="D117" s="50">
        <v>-1.8236999999999999</v>
      </c>
      <c r="E117" s="51">
        <v>-11272</v>
      </c>
      <c r="F117" s="50">
        <v>-1.8327025</v>
      </c>
      <c r="G117" s="51">
        <v>-11274.1</v>
      </c>
      <c r="H117" s="50">
        <v>-1.8359075000000002</v>
      </c>
      <c r="I117" s="51">
        <v>-11273.8</v>
      </c>
      <c r="J117" s="50">
        <v>-1.83647</v>
      </c>
      <c r="K117" s="51">
        <v>-11275.4</v>
      </c>
      <c r="L117" s="50">
        <v>-1.8318875</v>
      </c>
      <c r="M117" s="6"/>
      <c r="N117" s="52"/>
      <c r="O117" s="51">
        <v>-11273.7</v>
      </c>
      <c r="P117" s="50">
        <v>-1.83433</v>
      </c>
      <c r="Q117" s="6"/>
      <c r="R117" s="52"/>
      <c r="S117" s="6"/>
      <c r="T117" s="52"/>
      <c r="U117" s="51">
        <v>-11274</v>
      </c>
      <c r="V117" s="50">
        <v>-1.8355449999999998</v>
      </c>
      <c r="W117" s="6"/>
      <c r="X117" s="52"/>
      <c r="Y117" s="6"/>
      <c r="Z117" s="52"/>
      <c r="AA117" s="51">
        <v>-11276.1</v>
      </c>
      <c r="AB117" s="50">
        <v>-1.8300325</v>
      </c>
      <c r="AC117" s="6"/>
      <c r="AD117" s="52"/>
      <c r="AE117" s="6"/>
      <c r="AF117" s="52"/>
      <c r="AG117" s="51">
        <v>-11282.8</v>
      </c>
      <c r="AH117" s="50">
        <v>-1.83452</v>
      </c>
      <c r="AI117" s="6"/>
      <c r="AJ117" s="52"/>
    </row>
    <row x14ac:dyDescent="0.25" r="118" customHeight="1" ht="17.25">
      <c r="A118" s="11">
        <v>-11521.6</v>
      </c>
      <c r="B118" s="50">
        <v>-1.8513249999999999</v>
      </c>
      <c r="C118" s="51">
        <v>-11518.3</v>
      </c>
      <c r="D118" s="50">
        <v>-1.82825</v>
      </c>
      <c r="E118" s="51">
        <v>-11517</v>
      </c>
      <c r="F118" s="50">
        <v>-1.8372925</v>
      </c>
      <c r="G118" s="51">
        <v>-11519.4</v>
      </c>
      <c r="H118" s="50">
        <v>-1.8404775</v>
      </c>
      <c r="I118" s="51">
        <v>-11518.9</v>
      </c>
      <c r="J118" s="50">
        <v>-1.84111</v>
      </c>
      <c r="K118" s="51">
        <v>-11520.7</v>
      </c>
      <c r="L118" s="50">
        <v>-1.8364975</v>
      </c>
      <c r="M118" s="6"/>
      <c r="N118" s="52"/>
      <c r="O118" s="51">
        <v>-11518.7</v>
      </c>
      <c r="P118" s="50">
        <v>-1.839</v>
      </c>
      <c r="Q118" s="6"/>
      <c r="R118" s="52"/>
      <c r="S118" s="6"/>
      <c r="T118" s="52"/>
      <c r="U118" s="51">
        <v>-11518.8</v>
      </c>
      <c r="V118" s="50">
        <v>-1.8402249999999998</v>
      </c>
      <c r="W118" s="6"/>
      <c r="X118" s="52"/>
      <c r="Y118" s="6"/>
      <c r="Z118" s="52"/>
      <c r="AA118" s="51">
        <v>-11521.1</v>
      </c>
      <c r="AB118" s="50">
        <v>-1.8347425</v>
      </c>
      <c r="AC118" s="6"/>
      <c r="AD118" s="52"/>
      <c r="AE118" s="6"/>
      <c r="AF118" s="52"/>
      <c r="AG118" s="51">
        <v>-11528</v>
      </c>
      <c r="AH118" s="50">
        <v>-1.83923</v>
      </c>
      <c r="AI118" s="6"/>
      <c r="AJ118" s="52"/>
    </row>
    <row x14ac:dyDescent="0.25" r="119" customHeight="1" ht="17.25">
      <c r="A119" s="11">
        <v>-11766.8</v>
      </c>
      <c r="B119" s="50">
        <v>-1.855715</v>
      </c>
      <c r="C119" s="51">
        <v>-11763.3</v>
      </c>
      <c r="D119" s="50">
        <v>-1.83272</v>
      </c>
      <c r="E119" s="51">
        <v>-11762.2</v>
      </c>
      <c r="F119" s="50">
        <v>-1.8418525</v>
      </c>
      <c r="G119" s="51">
        <v>-11764.4</v>
      </c>
      <c r="H119" s="50">
        <v>-1.8450075</v>
      </c>
      <c r="I119" s="51">
        <v>-11764</v>
      </c>
      <c r="J119" s="50">
        <v>-1.84562</v>
      </c>
      <c r="K119" s="51">
        <v>-11765.7</v>
      </c>
      <c r="L119" s="50">
        <v>-1.8411075</v>
      </c>
      <c r="M119" s="6"/>
      <c r="N119" s="52"/>
      <c r="O119" s="51">
        <v>-11764</v>
      </c>
      <c r="P119" s="50">
        <v>-1.84364</v>
      </c>
      <c r="Q119" s="6"/>
      <c r="R119" s="52"/>
      <c r="S119" s="6"/>
      <c r="T119" s="52"/>
      <c r="U119" s="51">
        <v>-11764.1</v>
      </c>
      <c r="V119" s="50">
        <v>-1.8446850000000001</v>
      </c>
      <c r="W119" s="6"/>
      <c r="X119" s="52"/>
      <c r="Y119" s="6"/>
      <c r="Z119" s="52"/>
      <c r="AA119" s="51">
        <v>-11766.3</v>
      </c>
      <c r="AB119" s="50">
        <v>-1.8392725</v>
      </c>
      <c r="AC119" s="6"/>
      <c r="AD119" s="52"/>
      <c r="AE119" s="6"/>
      <c r="AF119" s="52"/>
      <c r="AG119" s="51">
        <v>-11773.5</v>
      </c>
      <c r="AH119" s="50">
        <v>-1.8437000000000001</v>
      </c>
      <c r="AI119" s="6"/>
      <c r="AJ119" s="52"/>
    </row>
    <row x14ac:dyDescent="0.25" r="120" customHeight="1" ht="17.25">
      <c r="A120" s="11">
        <v>-12012.1</v>
      </c>
      <c r="B120" s="50">
        <v>-1.860175</v>
      </c>
      <c r="C120" s="51">
        <v>-12008.6</v>
      </c>
      <c r="D120" s="50">
        <v>-1.83732</v>
      </c>
      <c r="E120" s="51">
        <v>-12007.2</v>
      </c>
      <c r="F120" s="50">
        <v>-1.8463625</v>
      </c>
      <c r="G120" s="51">
        <v>-12009.5</v>
      </c>
      <c r="H120" s="50">
        <v>-1.8494074999999999</v>
      </c>
      <c r="I120" s="51">
        <v>-12009.2</v>
      </c>
      <c r="J120" s="50">
        <v>-1.8501500000000002</v>
      </c>
      <c r="K120" s="51">
        <v>-12010.7</v>
      </c>
      <c r="L120" s="50">
        <v>-1.8455475</v>
      </c>
      <c r="M120" s="6"/>
      <c r="N120" s="52"/>
      <c r="O120" s="51">
        <v>-12009.1</v>
      </c>
      <c r="P120" s="50">
        <v>-1.8481699999999999</v>
      </c>
      <c r="Q120" s="6"/>
      <c r="R120" s="52"/>
      <c r="S120" s="6"/>
      <c r="T120" s="52"/>
      <c r="U120" s="51">
        <v>-12009.5</v>
      </c>
      <c r="V120" s="50">
        <v>-1.8491749999999998</v>
      </c>
      <c r="W120" s="6"/>
      <c r="X120" s="52"/>
      <c r="Y120" s="6"/>
      <c r="Z120" s="52"/>
      <c r="AA120" s="51">
        <v>-12011.8</v>
      </c>
      <c r="AB120" s="50">
        <v>-1.8435925</v>
      </c>
      <c r="AC120" s="6"/>
      <c r="AD120" s="52"/>
      <c r="AE120" s="6"/>
      <c r="AF120" s="52"/>
      <c r="AG120" s="51">
        <v>-12018.7</v>
      </c>
      <c r="AH120" s="50">
        <v>-1.84819</v>
      </c>
      <c r="AI120" s="6"/>
      <c r="AJ120" s="52"/>
    </row>
    <row x14ac:dyDescent="0.25" r="121" customHeight="1" ht="17.25">
      <c r="A121" s="11">
        <v>-12257</v>
      </c>
      <c r="B121" s="50">
        <v>-1.864615</v>
      </c>
      <c r="C121" s="51">
        <v>-12253.7</v>
      </c>
      <c r="D121" s="50">
        <v>-1.84168</v>
      </c>
      <c r="E121" s="51">
        <v>-12252.6</v>
      </c>
      <c r="F121" s="50">
        <v>-1.8508025</v>
      </c>
      <c r="G121" s="51">
        <v>-12254.8</v>
      </c>
      <c r="H121" s="50">
        <v>-1.8537975000000002</v>
      </c>
      <c r="I121" s="51">
        <v>-12254.5</v>
      </c>
      <c r="J121" s="50">
        <v>-1.8545800000000001</v>
      </c>
      <c r="K121" s="51">
        <v>-12256</v>
      </c>
      <c r="L121" s="50">
        <v>-1.8498575</v>
      </c>
      <c r="M121" s="6"/>
      <c r="N121" s="52"/>
      <c r="O121" s="51">
        <v>-12254.1</v>
      </c>
      <c r="P121" s="50">
        <v>-1.8526</v>
      </c>
      <c r="Q121" s="6"/>
      <c r="R121" s="52"/>
      <c r="S121" s="6"/>
      <c r="T121" s="52"/>
      <c r="U121" s="51">
        <v>-12254.3</v>
      </c>
      <c r="V121" s="50">
        <v>-1.8535849999999998</v>
      </c>
      <c r="W121" s="6"/>
      <c r="X121" s="52"/>
      <c r="Y121" s="6"/>
      <c r="Z121" s="52"/>
      <c r="AA121" s="51">
        <v>-12256.7</v>
      </c>
      <c r="AB121" s="50">
        <v>-1.8480525</v>
      </c>
      <c r="AC121" s="6"/>
      <c r="AD121" s="52"/>
      <c r="AE121" s="6"/>
      <c r="AF121" s="52"/>
      <c r="AG121" s="51">
        <v>-12264.2</v>
      </c>
      <c r="AH121" s="50">
        <v>-1.85263</v>
      </c>
      <c r="AI121" s="6"/>
      <c r="AJ121" s="52"/>
    </row>
    <row x14ac:dyDescent="0.25" r="122" customHeight="1" ht="17.25">
      <c r="A122" s="11">
        <v>-14347.3</v>
      </c>
      <c r="B122" s="50">
        <v>-1.899355</v>
      </c>
      <c r="C122" s="51">
        <v>-14343.6</v>
      </c>
      <c r="D122" s="50">
        <v>-1.87631</v>
      </c>
      <c r="E122" s="51">
        <v>-14341.9</v>
      </c>
      <c r="F122" s="50">
        <v>-1.8857625</v>
      </c>
      <c r="G122" s="51">
        <v>-14344.3</v>
      </c>
      <c r="H122" s="50">
        <v>-1.8883675000000002</v>
      </c>
      <c r="I122" s="51">
        <v>-14343.8</v>
      </c>
      <c r="J122" s="50">
        <v>-1.8894300000000002</v>
      </c>
      <c r="K122" s="51">
        <v>-14346.1</v>
      </c>
      <c r="L122" s="50">
        <v>-1.8846675</v>
      </c>
      <c r="M122" s="6"/>
      <c r="N122" s="52"/>
      <c r="O122" s="51">
        <v>-14343.5</v>
      </c>
      <c r="P122" s="50">
        <v>-1.88773</v>
      </c>
      <c r="Q122" s="6"/>
      <c r="R122" s="52"/>
      <c r="S122" s="6"/>
      <c r="T122" s="52"/>
      <c r="U122" s="51">
        <v>-14344.1</v>
      </c>
      <c r="V122" s="50">
        <v>-1.888385</v>
      </c>
      <c r="W122" s="6"/>
      <c r="X122" s="52"/>
      <c r="Y122" s="6"/>
      <c r="Z122" s="52"/>
      <c r="AA122" s="51">
        <v>-14346.5</v>
      </c>
      <c r="AB122" s="50">
        <v>-1.8833725000000001</v>
      </c>
      <c r="AC122" s="6"/>
      <c r="AD122" s="52"/>
      <c r="AE122" s="6"/>
      <c r="AF122" s="52"/>
      <c r="AG122" s="51">
        <v>-14355.5</v>
      </c>
      <c r="AH122" s="50">
        <v>-1.88782</v>
      </c>
      <c r="AI122" s="6"/>
      <c r="AJ122" s="52"/>
    </row>
    <row x14ac:dyDescent="0.25" r="123" customHeight="1" ht="17.25">
      <c r="A123" s="11">
        <v>-16218.8</v>
      </c>
      <c r="B123" s="50">
        <v>-1.927365</v>
      </c>
      <c r="C123" s="51">
        <v>-16214.4</v>
      </c>
      <c r="D123" s="50">
        <v>-1.9041299999999999</v>
      </c>
      <c r="E123" s="51">
        <v>-16212.8</v>
      </c>
      <c r="F123" s="50">
        <v>-1.9138425</v>
      </c>
      <c r="G123" s="51">
        <v>-16215.5</v>
      </c>
      <c r="H123" s="50">
        <v>-1.9163475</v>
      </c>
      <c r="I123" s="51">
        <v>-16215.1</v>
      </c>
      <c r="J123" s="50">
        <v>-1.91751</v>
      </c>
      <c r="K123" s="51">
        <v>-16217.6</v>
      </c>
      <c r="L123" s="50">
        <v>-1.9126874999999999</v>
      </c>
      <c r="M123" s="6"/>
      <c r="N123" s="52"/>
      <c r="O123" s="51">
        <v>-16215.2</v>
      </c>
      <c r="P123" s="50">
        <v>-1.91593</v>
      </c>
      <c r="Q123" s="6"/>
      <c r="R123" s="52"/>
      <c r="S123" s="6"/>
      <c r="T123" s="52"/>
      <c r="U123" s="51">
        <v>-16215.2</v>
      </c>
      <c r="V123" s="50">
        <v>-1.916515</v>
      </c>
      <c r="W123" s="6"/>
      <c r="X123" s="52"/>
      <c r="Y123" s="6"/>
      <c r="Z123" s="52"/>
      <c r="AA123" s="51">
        <v>-16218.3</v>
      </c>
      <c r="AB123" s="50">
        <v>-1.9115325</v>
      </c>
      <c r="AC123" s="6"/>
      <c r="AD123" s="52"/>
      <c r="AE123" s="6"/>
      <c r="AF123" s="52"/>
      <c r="AG123" s="51">
        <v>-16228</v>
      </c>
      <c r="AH123" s="50">
        <v>-1.91602</v>
      </c>
      <c r="AI123" s="6"/>
      <c r="AJ123" s="52"/>
    </row>
    <row x14ac:dyDescent="0.25" r="124" customHeight="1" ht="17.25">
      <c r="A124" s="11">
        <v>-19337.4</v>
      </c>
      <c r="B124" s="50">
        <v>-1.968845</v>
      </c>
      <c r="C124" s="51">
        <v>-19332.7</v>
      </c>
      <c r="D124" s="50">
        <v>-1.9453</v>
      </c>
      <c r="E124" s="51">
        <v>-19330.4</v>
      </c>
      <c r="F124" s="50">
        <v>-1.9553725</v>
      </c>
      <c r="G124" s="51">
        <v>-19334.2</v>
      </c>
      <c r="H124" s="50">
        <v>-1.9574975000000001</v>
      </c>
      <c r="I124" s="51">
        <v>-19333.6</v>
      </c>
      <c r="J124" s="50">
        <v>-1.9588700000000001</v>
      </c>
      <c r="K124" s="51">
        <v>-19336.4</v>
      </c>
      <c r="L124" s="50">
        <v>-1.9537575</v>
      </c>
      <c r="M124" s="6"/>
      <c r="N124" s="52"/>
      <c r="O124" s="51">
        <v>-19333.6</v>
      </c>
      <c r="P124" s="50">
        <v>-1.95752</v>
      </c>
      <c r="Q124" s="6"/>
      <c r="R124" s="52"/>
      <c r="S124" s="6"/>
      <c r="T124" s="52"/>
      <c r="U124" s="51">
        <v>-19333.7</v>
      </c>
      <c r="V124" s="50">
        <v>-1.9578950000000002</v>
      </c>
      <c r="W124" s="6"/>
      <c r="X124" s="52"/>
      <c r="Y124" s="6"/>
      <c r="Z124" s="52"/>
      <c r="AA124" s="51">
        <v>-19337.7</v>
      </c>
      <c r="AB124" s="50">
        <v>-1.9531125</v>
      </c>
      <c r="AC124" s="6"/>
      <c r="AD124" s="52"/>
      <c r="AE124" s="6"/>
      <c r="AF124" s="52"/>
      <c r="AG124" s="51">
        <v>-19349.4</v>
      </c>
      <c r="AH124" s="50">
        <v>-1.95779</v>
      </c>
      <c r="AI124" s="6"/>
      <c r="AJ124" s="52"/>
    </row>
    <row x14ac:dyDescent="0.25" r="125" customHeight="1" ht="17.25">
      <c r="A125" s="11">
        <v>-16218.8</v>
      </c>
      <c r="B125" s="50">
        <v>-1.928965</v>
      </c>
      <c r="C125" s="51">
        <v>-16214.6</v>
      </c>
      <c r="D125" s="50">
        <v>-1.90593</v>
      </c>
      <c r="E125" s="51">
        <v>-16212.5</v>
      </c>
      <c r="F125" s="50">
        <v>-1.9155925</v>
      </c>
      <c r="G125" s="51">
        <v>-16215.9</v>
      </c>
      <c r="H125" s="50">
        <v>-1.9179175000000002</v>
      </c>
      <c r="I125" s="51">
        <v>-16215.4</v>
      </c>
      <c r="J125" s="50">
        <v>-1.91918</v>
      </c>
      <c r="K125" s="51">
        <v>-16217.4</v>
      </c>
      <c r="L125" s="50">
        <v>-1.9141175</v>
      </c>
      <c r="M125" s="6"/>
      <c r="N125" s="52"/>
      <c r="O125" s="51">
        <v>-16215.6</v>
      </c>
      <c r="P125" s="50">
        <v>-1.9175499999999999</v>
      </c>
      <c r="Q125" s="6"/>
      <c r="R125" s="52"/>
      <c r="S125" s="6"/>
      <c r="T125" s="52"/>
      <c r="U125" s="51">
        <v>-16215.7</v>
      </c>
      <c r="V125" s="50">
        <v>-1.9177849999999999</v>
      </c>
      <c r="W125" s="6"/>
      <c r="X125" s="52"/>
      <c r="Y125" s="6"/>
      <c r="Z125" s="52"/>
      <c r="AA125" s="51">
        <v>-16218.4</v>
      </c>
      <c r="AB125" s="50">
        <v>-1.9129125</v>
      </c>
      <c r="AC125" s="6"/>
      <c r="AD125" s="52"/>
      <c r="AE125" s="6"/>
      <c r="AF125" s="52"/>
      <c r="AG125" s="51">
        <v>-16228.8</v>
      </c>
      <c r="AH125" s="50">
        <v>-1.9177</v>
      </c>
      <c r="AI125" s="6"/>
      <c r="AJ125" s="52"/>
    </row>
    <row x14ac:dyDescent="0.25" r="126" customHeight="1" ht="17.25">
      <c r="A126" s="11">
        <v>-14347.6</v>
      </c>
      <c r="B126" s="50">
        <v>-1.901905</v>
      </c>
      <c r="C126" s="51">
        <v>-14343.5</v>
      </c>
      <c r="D126" s="50">
        <v>-1.8790799999999999</v>
      </c>
      <c r="E126" s="51">
        <v>-14341.8</v>
      </c>
      <c r="F126" s="50">
        <v>-1.8884425</v>
      </c>
      <c r="G126" s="51">
        <v>-14344.8</v>
      </c>
      <c r="H126" s="50">
        <v>-1.8911375000000001</v>
      </c>
      <c r="I126" s="51">
        <v>-14344.4</v>
      </c>
      <c r="J126" s="50">
        <v>-1.8921800000000002</v>
      </c>
      <c r="K126" s="51">
        <v>-14346.2</v>
      </c>
      <c r="L126" s="50">
        <v>-1.8872175</v>
      </c>
      <c r="M126" s="6"/>
      <c r="N126" s="52"/>
      <c r="O126" s="51">
        <v>-14344.6</v>
      </c>
      <c r="P126" s="50">
        <v>-1.89042</v>
      </c>
      <c r="Q126" s="6"/>
      <c r="R126" s="52"/>
      <c r="S126" s="6"/>
      <c r="T126" s="52"/>
      <c r="U126" s="51">
        <v>-14344.5</v>
      </c>
      <c r="V126" s="50">
        <v>-1.8906649999999998</v>
      </c>
      <c r="W126" s="6"/>
      <c r="X126" s="52"/>
      <c r="Y126" s="6"/>
      <c r="Z126" s="52"/>
      <c r="AA126" s="51">
        <v>-14347.4</v>
      </c>
      <c r="AB126" s="50">
        <v>-1.8858125000000001</v>
      </c>
      <c r="AC126" s="6"/>
      <c r="AD126" s="52"/>
      <c r="AE126" s="6"/>
      <c r="AF126" s="52"/>
      <c r="AG126" s="51">
        <v>-14355.9</v>
      </c>
      <c r="AH126" s="50">
        <v>-1.89043</v>
      </c>
      <c r="AI126" s="6"/>
      <c r="AJ126" s="52"/>
    </row>
    <row x14ac:dyDescent="0.25" r="127" customHeight="1" ht="17.25">
      <c r="A127" s="11">
        <v>-12257.5</v>
      </c>
      <c r="B127" s="50">
        <v>-1.868515</v>
      </c>
      <c r="C127" s="51">
        <v>-12253.8</v>
      </c>
      <c r="D127" s="50">
        <v>-1.84589</v>
      </c>
      <c r="E127" s="51">
        <v>-12252.3</v>
      </c>
      <c r="F127" s="50">
        <v>-1.8549125</v>
      </c>
      <c r="G127" s="51">
        <v>-12254.8</v>
      </c>
      <c r="H127" s="50">
        <v>-1.8578375</v>
      </c>
      <c r="I127" s="51">
        <v>-12254.6</v>
      </c>
      <c r="J127" s="50">
        <v>-1.85877</v>
      </c>
      <c r="K127" s="51">
        <v>-12256.2</v>
      </c>
      <c r="L127" s="50">
        <v>-1.8539475</v>
      </c>
      <c r="M127" s="6"/>
      <c r="N127" s="52"/>
      <c r="O127" s="51">
        <v>-12254.7</v>
      </c>
      <c r="P127" s="50">
        <v>-1.85692</v>
      </c>
      <c r="Q127" s="6"/>
      <c r="R127" s="52"/>
      <c r="S127" s="6"/>
      <c r="T127" s="52"/>
      <c r="U127" s="51">
        <v>-12255.2</v>
      </c>
      <c r="V127" s="50">
        <v>-1.8570349999999998</v>
      </c>
      <c r="W127" s="6"/>
      <c r="X127" s="52"/>
      <c r="Y127" s="6"/>
      <c r="Z127" s="52"/>
      <c r="AA127" s="51">
        <v>-12257.3</v>
      </c>
      <c r="AB127" s="50">
        <v>-1.8520025</v>
      </c>
      <c r="AC127" s="6"/>
      <c r="AD127" s="52"/>
      <c r="AE127" s="6"/>
      <c r="AF127" s="52"/>
      <c r="AG127" s="51">
        <v>-12264.8</v>
      </c>
      <c r="AH127" s="50">
        <v>-1.85649</v>
      </c>
      <c r="AI127" s="6"/>
      <c r="AJ127" s="52"/>
    </row>
    <row x14ac:dyDescent="0.25" r="128" customHeight="1" ht="17.25">
      <c r="A128" s="11">
        <v>-12012.2</v>
      </c>
      <c r="B128" s="50">
        <v>-1.864355</v>
      </c>
      <c r="C128" s="51">
        <v>-12008.7</v>
      </c>
      <c r="D128" s="50">
        <v>-1.84167</v>
      </c>
      <c r="E128" s="51">
        <v>-12007.5</v>
      </c>
      <c r="F128" s="50">
        <v>-1.8506525</v>
      </c>
      <c r="G128" s="51">
        <v>-12009.7</v>
      </c>
      <c r="H128" s="50">
        <v>-1.8536575000000002</v>
      </c>
      <c r="I128" s="51">
        <v>-12009.6</v>
      </c>
      <c r="J128" s="50">
        <v>-1.85453</v>
      </c>
      <c r="K128" s="51">
        <v>-12010.9</v>
      </c>
      <c r="L128" s="50">
        <v>-1.8496774999999999</v>
      </c>
      <c r="M128" s="6"/>
      <c r="N128" s="52"/>
      <c r="O128" s="51">
        <v>-12009.5</v>
      </c>
      <c r="P128" s="50">
        <v>-1.85272</v>
      </c>
      <c r="Q128" s="6"/>
      <c r="R128" s="52"/>
      <c r="S128" s="6"/>
      <c r="T128" s="52"/>
      <c r="U128" s="51">
        <v>-12009.8</v>
      </c>
      <c r="V128" s="50">
        <v>-1.852875</v>
      </c>
      <c r="W128" s="6"/>
      <c r="X128" s="52"/>
      <c r="Y128" s="6"/>
      <c r="Z128" s="52"/>
      <c r="AA128" s="51">
        <v>-12011.9</v>
      </c>
      <c r="AB128" s="50">
        <v>-1.8477125</v>
      </c>
      <c r="AC128" s="6"/>
      <c r="AD128" s="52"/>
      <c r="AE128" s="6"/>
      <c r="AF128" s="52"/>
      <c r="AG128" s="51">
        <v>-12019.5</v>
      </c>
      <c r="AH128" s="50">
        <v>-1.8523</v>
      </c>
      <c r="AI128" s="6"/>
      <c r="AJ128" s="52"/>
    </row>
    <row x14ac:dyDescent="0.25" r="129" customHeight="1" ht="17.25">
      <c r="A129" s="11">
        <v>-11767.1</v>
      </c>
      <c r="B129" s="50">
        <v>-1.860105</v>
      </c>
      <c r="C129" s="51">
        <v>-11763.7</v>
      </c>
      <c r="D129" s="50">
        <v>-1.83748</v>
      </c>
      <c r="E129" s="51">
        <v>-11762.1</v>
      </c>
      <c r="F129" s="50">
        <v>-1.8463224999999999</v>
      </c>
      <c r="G129" s="51">
        <v>-11764.4</v>
      </c>
      <c r="H129" s="50">
        <v>-1.8495075</v>
      </c>
      <c r="I129" s="51">
        <v>-11764.6</v>
      </c>
      <c r="J129" s="50">
        <v>-1.85026</v>
      </c>
      <c r="K129" s="51">
        <v>-11765.8</v>
      </c>
      <c r="L129" s="50">
        <v>-1.8453875</v>
      </c>
      <c r="M129" s="6"/>
      <c r="N129" s="52"/>
      <c r="O129" s="51">
        <v>-11764.4</v>
      </c>
      <c r="P129" s="50">
        <v>-1.84856</v>
      </c>
      <c r="Q129" s="6"/>
      <c r="R129" s="52"/>
      <c r="S129" s="6"/>
      <c r="T129" s="52"/>
      <c r="U129" s="51">
        <v>-11764.9</v>
      </c>
      <c r="V129" s="50">
        <v>-1.848605</v>
      </c>
      <c r="W129" s="6"/>
      <c r="X129" s="52"/>
      <c r="Y129" s="6"/>
      <c r="Z129" s="52"/>
      <c r="AA129" s="51">
        <v>-11766.5</v>
      </c>
      <c r="AB129" s="50">
        <v>-1.8434825000000001</v>
      </c>
      <c r="AC129" s="6"/>
      <c r="AD129" s="52"/>
      <c r="AE129" s="6"/>
      <c r="AF129" s="52"/>
      <c r="AG129" s="51">
        <v>-11774.1</v>
      </c>
      <c r="AH129" s="50">
        <v>-1.84799</v>
      </c>
      <c r="AI129" s="6"/>
      <c r="AJ129" s="52"/>
    </row>
    <row x14ac:dyDescent="0.25" r="130" customHeight="1" ht="17.25">
      <c r="A130" s="11">
        <v>-11521.7</v>
      </c>
      <c r="B130" s="50">
        <v>-1.8558249999999998</v>
      </c>
      <c r="C130" s="51">
        <v>-11518.2</v>
      </c>
      <c r="D130" s="50">
        <v>-1.83323</v>
      </c>
      <c r="E130" s="51">
        <v>-11517.3</v>
      </c>
      <c r="F130" s="50">
        <v>-1.8420025</v>
      </c>
      <c r="G130" s="51">
        <v>-11519.4</v>
      </c>
      <c r="H130" s="50">
        <v>-1.8452975</v>
      </c>
      <c r="I130" s="51">
        <v>-11519.5</v>
      </c>
      <c r="J130" s="50">
        <v>-1.8459400000000001</v>
      </c>
      <c r="K130" s="51">
        <v>-11520.6</v>
      </c>
      <c r="L130" s="50">
        <v>-1.8410775</v>
      </c>
      <c r="M130" s="6"/>
      <c r="N130" s="52"/>
      <c r="O130" s="51">
        <v>-11519.3</v>
      </c>
      <c r="P130" s="50">
        <v>-1.8442699999999999</v>
      </c>
      <c r="Q130" s="6"/>
      <c r="R130" s="52"/>
      <c r="S130" s="6"/>
      <c r="T130" s="52"/>
      <c r="U130" s="51">
        <v>-11519.4</v>
      </c>
      <c r="V130" s="50">
        <v>-1.844265</v>
      </c>
      <c r="W130" s="6"/>
      <c r="X130" s="52"/>
      <c r="Y130" s="6"/>
      <c r="Z130" s="52"/>
      <c r="AA130" s="51">
        <v>-11521.4</v>
      </c>
      <c r="AB130" s="50">
        <v>-1.8390825</v>
      </c>
      <c r="AC130" s="6"/>
      <c r="AD130" s="52"/>
      <c r="AE130" s="6"/>
      <c r="AF130" s="52"/>
      <c r="AG130" s="51">
        <v>-11528.9</v>
      </c>
      <c r="AH130" s="50">
        <v>-1.84359</v>
      </c>
      <c r="AI130" s="6"/>
      <c r="AJ130" s="52"/>
    </row>
    <row x14ac:dyDescent="0.25" r="131" customHeight="1" ht="17.25">
      <c r="A131" s="11">
        <v>-11276.7</v>
      </c>
      <c r="B131" s="50">
        <v>-1.851405</v>
      </c>
      <c r="C131" s="51">
        <v>-11273.3</v>
      </c>
      <c r="D131" s="50">
        <v>-1.82882</v>
      </c>
      <c r="E131" s="51">
        <v>-11272.3</v>
      </c>
      <c r="F131" s="50">
        <v>-1.8374725</v>
      </c>
      <c r="G131" s="51">
        <v>-11274.2</v>
      </c>
      <c r="H131" s="50">
        <v>-1.8409175000000002</v>
      </c>
      <c r="I131" s="51">
        <v>-11274.3</v>
      </c>
      <c r="J131" s="50">
        <v>-1.84149</v>
      </c>
      <c r="K131" s="51">
        <v>-11275.5</v>
      </c>
      <c r="L131" s="50">
        <v>-1.8366775</v>
      </c>
      <c r="M131" s="6"/>
      <c r="N131" s="52"/>
      <c r="O131" s="51">
        <v>-11274.2</v>
      </c>
      <c r="P131" s="50">
        <v>-1.8399699999999999</v>
      </c>
      <c r="Q131" s="6"/>
      <c r="R131" s="52"/>
      <c r="S131" s="6"/>
      <c r="T131" s="52"/>
      <c r="U131" s="51">
        <v>-11274.2</v>
      </c>
      <c r="V131" s="50">
        <v>-1.8398750000000001</v>
      </c>
      <c r="W131" s="6"/>
      <c r="X131" s="52"/>
      <c r="Y131" s="6"/>
      <c r="Z131" s="52"/>
      <c r="AA131" s="51">
        <v>-11276.2</v>
      </c>
      <c r="AB131" s="50">
        <v>-1.8346825</v>
      </c>
      <c r="AC131" s="6"/>
      <c r="AD131" s="52"/>
      <c r="AE131" s="6"/>
      <c r="AF131" s="52"/>
      <c r="AG131" s="51">
        <v>-11283.6</v>
      </c>
      <c r="AH131" s="50">
        <v>-1.83912</v>
      </c>
      <c r="AI131" s="6"/>
      <c r="AJ131" s="52"/>
    </row>
    <row x14ac:dyDescent="0.25" r="132" customHeight="1" ht="17.25">
      <c r="A132" s="11">
        <v>-11031.5</v>
      </c>
      <c r="B132" s="50">
        <v>-1.846925</v>
      </c>
      <c r="C132" s="51">
        <v>-11028.1</v>
      </c>
      <c r="D132" s="50">
        <v>-1.8244</v>
      </c>
      <c r="E132" s="51">
        <v>-11027.1</v>
      </c>
      <c r="F132" s="50">
        <v>-1.8329725</v>
      </c>
      <c r="G132" s="51">
        <v>-11029.3</v>
      </c>
      <c r="H132" s="50">
        <v>-1.8365575</v>
      </c>
      <c r="I132" s="51">
        <v>-11028.8</v>
      </c>
      <c r="J132" s="50">
        <v>-1.83697</v>
      </c>
      <c r="K132" s="51">
        <v>-11030.2</v>
      </c>
      <c r="L132" s="50">
        <v>-1.8322475</v>
      </c>
      <c r="M132" s="6"/>
      <c r="N132" s="52"/>
      <c r="O132" s="51">
        <v>-11028.8</v>
      </c>
      <c r="P132" s="50">
        <v>-1.83543</v>
      </c>
      <c r="Q132" s="6"/>
      <c r="R132" s="52"/>
      <c r="S132" s="6"/>
      <c r="T132" s="52"/>
      <c r="U132" s="51">
        <v>-11029</v>
      </c>
      <c r="V132" s="50">
        <v>-1.835385</v>
      </c>
      <c r="W132" s="6"/>
      <c r="X132" s="52"/>
      <c r="Y132" s="6"/>
      <c r="Z132" s="52"/>
      <c r="AA132" s="51">
        <v>-11031.3</v>
      </c>
      <c r="AB132" s="50">
        <v>-1.8301725</v>
      </c>
      <c r="AC132" s="6"/>
      <c r="AD132" s="52"/>
      <c r="AE132" s="6"/>
      <c r="AF132" s="52"/>
      <c r="AG132" s="51">
        <v>-11038.5</v>
      </c>
      <c r="AH132" s="50">
        <v>-1.83454</v>
      </c>
      <c r="AI132" s="6"/>
      <c r="AJ132" s="52"/>
    </row>
    <row x14ac:dyDescent="0.25" r="133" customHeight="1" ht="17.25">
      <c r="A133" s="11">
        <v>-10786.3</v>
      </c>
      <c r="B133" s="50">
        <v>-1.8424449999999999</v>
      </c>
      <c r="C133" s="51">
        <v>-10782.9</v>
      </c>
      <c r="D133" s="50">
        <v>-1.81995</v>
      </c>
      <c r="E133" s="51">
        <v>-10782.2</v>
      </c>
      <c r="F133" s="50">
        <v>-1.8284624999999999</v>
      </c>
      <c r="G133" s="51">
        <v>-10784.4</v>
      </c>
      <c r="H133" s="50">
        <v>-1.8321174999999998</v>
      </c>
      <c r="I133" s="51">
        <v>-10783.8</v>
      </c>
      <c r="J133" s="50">
        <v>-1.83251</v>
      </c>
      <c r="K133" s="51">
        <v>-10785.2</v>
      </c>
      <c r="L133" s="50">
        <v>-1.8277075</v>
      </c>
      <c r="M133" s="6"/>
      <c r="N133" s="52"/>
      <c r="O133" s="51">
        <v>-10783.8</v>
      </c>
      <c r="P133" s="50">
        <v>-1.83072</v>
      </c>
      <c r="Q133" s="6"/>
      <c r="R133" s="52"/>
      <c r="S133" s="6"/>
      <c r="T133" s="52"/>
      <c r="U133" s="51">
        <v>-10783.9</v>
      </c>
      <c r="V133" s="50">
        <v>-1.830755</v>
      </c>
      <c r="W133" s="6"/>
      <c r="X133" s="52"/>
      <c r="Y133" s="6"/>
      <c r="Z133" s="52"/>
      <c r="AA133" s="51">
        <v>-10786.2</v>
      </c>
      <c r="AB133" s="50">
        <v>-1.8256225000000001</v>
      </c>
      <c r="AC133" s="6"/>
      <c r="AD133" s="52"/>
      <c r="AE133" s="6"/>
      <c r="AF133" s="52"/>
      <c r="AG133" s="51">
        <v>-10792.9</v>
      </c>
      <c r="AH133" s="50">
        <v>-1.83</v>
      </c>
      <c r="AI133" s="6"/>
      <c r="AJ133" s="52"/>
    </row>
    <row x14ac:dyDescent="0.25" r="134" customHeight="1" ht="17.25">
      <c r="A134" s="11">
        <v>-10541.5</v>
      </c>
      <c r="B134" s="50">
        <v>-1.837855</v>
      </c>
      <c r="C134" s="51">
        <v>-10538.1</v>
      </c>
      <c r="D134" s="50">
        <v>-1.81535</v>
      </c>
      <c r="E134" s="51">
        <v>-10537.1</v>
      </c>
      <c r="F134" s="50">
        <v>-1.8238524999999999</v>
      </c>
      <c r="G134" s="51">
        <v>-10539.2</v>
      </c>
      <c r="H134" s="50">
        <v>-1.8276474999999999</v>
      </c>
      <c r="I134" s="51">
        <v>-10538.8</v>
      </c>
      <c r="J134" s="50">
        <v>-1.82789</v>
      </c>
      <c r="K134" s="51">
        <v>-10539.9</v>
      </c>
      <c r="L134" s="50">
        <v>-1.8232475</v>
      </c>
      <c r="M134" s="6"/>
      <c r="N134" s="52"/>
      <c r="O134" s="51">
        <v>-10538.7</v>
      </c>
      <c r="P134" s="50">
        <v>-1.8260699999999999</v>
      </c>
      <c r="Q134" s="6"/>
      <c r="R134" s="52"/>
      <c r="S134" s="6"/>
      <c r="T134" s="52"/>
      <c r="U134" s="51">
        <v>-10539</v>
      </c>
      <c r="V134" s="50">
        <v>-1.826225</v>
      </c>
      <c r="W134" s="6"/>
      <c r="X134" s="52"/>
      <c r="Y134" s="6"/>
      <c r="Z134" s="52"/>
      <c r="AA134" s="51">
        <v>-10540.8</v>
      </c>
      <c r="AB134" s="50">
        <v>-1.8209525</v>
      </c>
      <c r="AC134" s="6"/>
      <c r="AD134" s="52"/>
      <c r="AE134" s="6"/>
      <c r="AF134" s="52"/>
      <c r="AG134" s="51">
        <v>-10547.5</v>
      </c>
      <c r="AH134" s="50">
        <v>-1.82535</v>
      </c>
      <c r="AI134" s="6"/>
      <c r="AJ134" s="52"/>
    </row>
    <row x14ac:dyDescent="0.25" r="135" customHeight="1" ht="17.25">
      <c r="A135" s="11">
        <v>-10296.5</v>
      </c>
      <c r="B135" s="50">
        <v>-1.833215</v>
      </c>
      <c r="C135" s="51">
        <v>-10293</v>
      </c>
      <c r="D135" s="50">
        <v>-1.81076</v>
      </c>
      <c r="E135" s="51">
        <v>-10292.1</v>
      </c>
      <c r="F135" s="50">
        <v>-1.8193124999999999</v>
      </c>
      <c r="G135" s="51">
        <v>-10293.9</v>
      </c>
      <c r="H135" s="50">
        <v>-1.8230875000000002</v>
      </c>
      <c r="I135" s="51">
        <v>-10293.6</v>
      </c>
      <c r="J135" s="50">
        <v>-1.82331</v>
      </c>
      <c r="K135" s="51">
        <v>-10294.9</v>
      </c>
      <c r="L135" s="50">
        <v>-1.8185875</v>
      </c>
      <c r="M135" s="6"/>
      <c r="N135" s="52"/>
      <c r="O135" s="51">
        <v>-10293.7</v>
      </c>
      <c r="P135" s="50">
        <v>-1.8214</v>
      </c>
      <c r="Q135" s="6"/>
      <c r="R135" s="52"/>
      <c r="S135" s="6"/>
      <c r="T135" s="52"/>
      <c r="U135" s="51">
        <v>-10293.8</v>
      </c>
      <c r="V135" s="50">
        <v>-1.8217349999999999</v>
      </c>
      <c r="W135" s="6"/>
      <c r="X135" s="52"/>
      <c r="Y135" s="6"/>
      <c r="Z135" s="52"/>
      <c r="AA135" s="51">
        <v>-10296</v>
      </c>
      <c r="AB135" s="50">
        <v>-1.8162325000000001</v>
      </c>
      <c r="AC135" s="6"/>
      <c r="AD135" s="52"/>
      <c r="AE135" s="6"/>
      <c r="AF135" s="52"/>
      <c r="AG135" s="51">
        <v>-10302.2</v>
      </c>
      <c r="AH135" s="50">
        <v>-1.82058</v>
      </c>
      <c r="AI135" s="6"/>
      <c r="AJ135" s="52"/>
    </row>
    <row x14ac:dyDescent="0.25" r="136" customHeight="1" ht="17.25">
      <c r="A136" s="11">
        <v>-10051.2</v>
      </c>
      <c r="B136" s="50">
        <v>-1.828465</v>
      </c>
      <c r="C136" s="51">
        <v>-10047.6</v>
      </c>
      <c r="D136" s="50">
        <v>-1.80606</v>
      </c>
      <c r="E136" s="51">
        <v>-10047.2</v>
      </c>
      <c r="F136" s="50">
        <v>-1.8145425</v>
      </c>
      <c r="G136" s="51">
        <v>-10048.6</v>
      </c>
      <c r="H136" s="50">
        <v>-1.8183574999999998</v>
      </c>
      <c r="I136" s="51">
        <v>-10048.4</v>
      </c>
      <c r="J136" s="50">
        <v>-1.8185900000000002</v>
      </c>
      <c r="K136" s="51">
        <v>-10049.9</v>
      </c>
      <c r="L136" s="50">
        <v>-1.8139075</v>
      </c>
      <c r="M136" s="6"/>
      <c r="N136" s="52"/>
      <c r="O136" s="51">
        <v>-10048.7</v>
      </c>
      <c r="P136" s="50">
        <v>-1.81666</v>
      </c>
      <c r="Q136" s="6"/>
      <c r="R136" s="52"/>
      <c r="S136" s="6"/>
      <c r="T136" s="52"/>
      <c r="U136" s="51">
        <v>-10048.7</v>
      </c>
      <c r="V136" s="50">
        <v>-1.816955</v>
      </c>
      <c r="W136" s="6"/>
      <c r="X136" s="52"/>
      <c r="Y136" s="6"/>
      <c r="Z136" s="52"/>
      <c r="AA136" s="51">
        <v>-10050.9</v>
      </c>
      <c r="AB136" s="50">
        <v>-1.8114125</v>
      </c>
      <c r="AC136" s="6"/>
      <c r="AD136" s="52"/>
      <c r="AE136" s="6"/>
      <c r="AF136" s="52"/>
      <c r="AG136" s="51">
        <v>-10057</v>
      </c>
      <c r="AH136" s="50">
        <v>-1.81581</v>
      </c>
      <c r="AI136" s="6"/>
      <c r="AJ136" s="52"/>
    </row>
    <row x14ac:dyDescent="0.25" r="137" customHeight="1" ht="17.25">
      <c r="A137" s="11">
        <v>-9805.87</v>
      </c>
      <c r="B137" s="50">
        <v>-1.8237349999999999</v>
      </c>
      <c r="C137" s="51">
        <v>-9802.64</v>
      </c>
      <c r="D137" s="50">
        <v>-1.80134</v>
      </c>
      <c r="E137" s="51">
        <v>-9802.25</v>
      </c>
      <c r="F137" s="50">
        <v>-1.8097225</v>
      </c>
      <c r="G137" s="51">
        <v>-9803.9</v>
      </c>
      <c r="H137" s="50">
        <v>-1.8135975000000002</v>
      </c>
      <c r="I137" s="51">
        <v>-9803.3</v>
      </c>
      <c r="J137" s="50">
        <v>-1.81372</v>
      </c>
      <c r="K137" s="51">
        <v>-9804.72</v>
      </c>
      <c r="L137" s="50">
        <v>-1.8091175</v>
      </c>
      <c r="M137" s="6"/>
      <c r="N137" s="52"/>
      <c r="O137" s="51">
        <v>-9803.55</v>
      </c>
      <c r="P137" s="50">
        <v>-1.8118999999999998</v>
      </c>
      <c r="Q137" s="6"/>
      <c r="R137" s="52"/>
      <c r="S137" s="6"/>
      <c r="T137" s="52"/>
      <c r="U137" s="51">
        <v>-9803.58</v>
      </c>
      <c r="V137" s="50">
        <v>-1.8121749999999999</v>
      </c>
      <c r="W137" s="6"/>
      <c r="X137" s="52"/>
      <c r="Y137" s="6"/>
      <c r="Z137" s="52"/>
      <c r="AA137" s="51">
        <v>-9805.49</v>
      </c>
      <c r="AB137" s="50">
        <v>-1.8064325</v>
      </c>
      <c r="AC137" s="6"/>
      <c r="AD137" s="52"/>
      <c r="AE137" s="6"/>
      <c r="AF137" s="52"/>
      <c r="AG137" s="51">
        <v>-9811.46</v>
      </c>
      <c r="AH137" s="50">
        <v>-1.81089</v>
      </c>
      <c r="AI137" s="6"/>
      <c r="AJ137" s="52"/>
    </row>
    <row x14ac:dyDescent="0.25" r="138" customHeight="1" ht="17.25">
      <c r="A138" s="11">
        <v>-9560.76</v>
      </c>
      <c r="B138" s="50">
        <v>-1.8188549999999999</v>
      </c>
      <c r="C138" s="51">
        <v>-9557.48</v>
      </c>
      <c r="D138" s="50">
        <v>-1.79647</v>
      </c>
      <c r="E138" s="51">
        <v>-9557.05</v>
      </c>
      <c r="F138" s="50">
        <v>-1.8048225</v>
      </c>
      <c r="G138" s="51">
        <v>-9558.77</v>
      </c>
      <c r="H138" s="50">
        <v>-1.8087875000000002</v>
      </c>
      <c r="I138" s="51">
        <v>-9558.13</v>
      </c>
      <c r="J138" s="50">
        <v>-1.8088600000000001</v>
      </c>
      <c r="K138" s="51">
        <v>-9559.35</v>
      </c>
      <c r="L138" s="50">
        <v>-1.8042675</v>
      </c>
      <c r="M138" s="6"/>
      <c r="N138" s="52"/>
      <c r="O138" s="51">
        <v>-9558.41</v>
      </c>
      <c r="P138" s="50">
        <v>-1.8070199999999998</v>
      </c>
      <c r="Q138" s="6"/>
      <c r="R138" s="52"/>
      <c r="S138" s="6"/>
      <c r="T138" s="52"/>
      <c r="U138" s="51">
        <v>-9558.65</v>
      </c>
      <c r="V138" s="50">
        <v>-1.807245</v>
      </c>
      <c r="W138" s="6"/>
      <c r="X138" s="52"/>
      <c r="Y138" s="6"/>
      <c r="Z138" s="52"/>
      <c r="AA138" s="51">
        <v>-9560.4</v>
      </c>
      <c r="AB138" s="50">
        <v>-1.8014625</v>
      </c>
      <c r="AC138" s="6"/>
      <c r="AD138" s="52"/>
      <c r="AE138" s="6"/>
      <c r="AF138" s="52"/>
      <c r="AG138" s="51">
        <v>-9566.19</v>
      </c>
      <c r="AH138" s="50">
        <v>-1.80594</v>
      </c>
      <c r="AI138" s="6"/>
      <c r="AJ138" s="52"/>
    </row>
    <row x14ac:dyDescent="0.25" r="139" customHeight="1" ht="17.25">
      <c r="A139" s="11">
        <v>-9315.66</v>
      </c>
      <c r="B139" s="50">
        <v>-1.813955</v>
      </c>
      <c r="C139" s="51">
        <v>-9312.36</v>
      </c>
      <c r="D139" s="50">
        <v>-1.79153</v>
      </c>
      <c r="E139" s="51">
        <v>-9311.76</v>
      </c>
      <c r="F139" s="50">
        <v>-1.7999025</v>
      </c>
      <c r="G139" s="51">
        <v>-9313.5</v>
      </c>
      <c r="H139" s="50">
        <v>-1.8037275</v>
      </c>
      <c r="I139" s="51">
        <v>-9312.86</v>
      </c>
      <c r="J139" s="50">
        <v>-1.80396</v>
      </c>
      <c r="K139" s="51">
        <v>-9314.35</v>
      </c>
      <c r="L139" s="50">
        <v>-1.7992675</v>
      </c>
      <c r="M139" s="6"/>
      <c r="N139" s="52"/>
      <c r="O139" s="51">
        <v>-9313.34</v>
      </c>
      <c r="P139" s="50">
        <v>-1.8020699999999998</v>
      </c>
      <c r="Q139" s="6"/>
      <c r="R139" s="52"/>
      <c r="S139" s="6"/>
      <c r="T139" s="52"/>
      <c r="U139" s="51">
        <v>-9313.4</v>
      </c>
      <c r="V139" s="50">
        <v>-1.8021850000000001</v>
      </c>
      <c r="W139" s="6"/>
      <c r="X139" s="52"/>
      <c r="Y139" s="6"/>
      <c r="Z139" s="52"/>
      <c r="AA139" s="51">
        <v>-9314.96</v>
      </c>
      <c r="AB139" s="50">
        <v>-1.7965025000000001</v>
      </c>
      <c r="AC139" s="6"/>
      <c r="AD139" s="52"/>
      <c r="AE139" s="6"/>
      <c r="AF139" s="52"/>
      <c r="AG139" s="51">
        <v>-9320.78</v>
      </c>
      <c r="AH139" s="50">
        <v>-1.80098</v>
      </c>
      <c r="AI139" s="6"/>
      <c r="AJ139" s="52"/>
    </row>
    <row x14ac:dyDescent="0.25" r="140" customHeight="1" ht="17.25">
      <c r="A140" s="11">
        <v>-9070.37</v>
      </c>
      <c r="B140" s="50">
        <v>-1.808905</v>
      </c>
      <c r="C140" s="51">
        <v>-9067.43</v>
      </c>
      <c r="D140" s="50">
        <v>-1.7865499999999999</v>
      </c>
      <c r="E140" s="51">
        <v>-9066.5</v>
      </c>
      <c r="F140" s="50">
        <v>-1.7948425</v>
      </c>
      <c r="G140" s="51">
        <v>-9068.59</v>
      </c>
      <c r="H140" s="50">
        <v>-1.7986875000000002</v>
      </c>
      <c r="I140" s="51">
        <v>-9067.97</v>
      </c>
      <c r="J140" s="50">
        <v>-1.7988600000000001</v>
      </c>
      <c r="K140" s="51">
        <v>-9069.41</v>
      </c>
      <c r="L140" s="50">
        <v>-1.7942075</v>
      </c>
      <c r="M140" s="6"/>
      <c r="N140" s="52"/>
      <c r="O140" s="51">
        <v>-9068.37</v>
      </c>
      <c r="P140" s="50">
        <v>-1.79697</v>
      </c>
      <c r="Q140" s="6"/>
      <c r="R140" s="52"/>
      <c r="S140" s="6"/>
      <c r="T140" s="52"/>
      <c r="U140" s="51">
        <v>-9068.32</v>
      </c>
      <c r="V140" s="50">
        <v>-1.797065</v>
      </c>
      <c r="W140" s="6"/>
      <c r="X140" s="52"/>
      <c r="Y140" s="6"/>
      <c r="Z140" s="52"/>
      <c r="AA140" s="51">
        <v>-9070.1</v>
      </c>
      <c r="AB140" s="50">
        <v>-1.7913925</v>
      </c>
      <c r="AC140" s="6"/>
      <c r="AD140" s="52"/>
      <c r="AE140" s="6"/>
      <c r="AF140" s="52"/>
      <c r="AG140" s="51">
        <v>-9075.59</v>
      </c>
      <c r="AH140" s="50">
        <v>-1.79586</v>
      </c>
      <c r="AI140" s="6"/>
      <c r="AJ140" s="52"/>
    </row>
    <row x14ac:dyDescent="0.25" r="141" customHeight="1" ht="17.25">
      <c r="A141" s="11">
        <v>-8825.34</v>
      </c>
      <c r="B141" s="50">
        <v>-1.803775</v>
      </c>
      <c r="C141" s="51">
        <v>-8822.32</v>
      </c>
      <c r="D141" s="50">
        <v>-1.7812999999999999</v>
      </c>
      <c r="E141" s="51">
        <v>-8821.61</v>
      </c>
      <c r="F141" s="50">
        <v>-1.7897125</v>
      </c>
      <c r="G141" s="51">
        <v>-8823.27</v>
      </c>
      <c r="H141" s="50">
        <v>-1.7935975000000002</v>
      </c>
      <c r="I141" s="51">
        <v>-8822.82</v>
      </c>
      <c r="J141" s="50">
        <v>-1.7936400000000001</v>
      </c>
      <c r="K141" s="51">
        <v>-8824.23</v>
      </c>
      <c r="L141" s="50">
        <v>-1.7891075</v>
      </c>
      <c r="M141" s="6"/>
      <c r="N141" s="52"/>
      <c r="O141" s="51">
        <v>-8823.21</v>
      </c>
      <c r="P141" s="50">
        <v>-1.7917999999999998</v>
      </c>
      <c r="Q141" s="6"/>
      <c r="R141" s="52"/>
      <c r="S141" s="6"/>
      <c r="T141" s="52"/>
      <c r="U141" s="51">
        <v>-8823.2</v>
      </c>
      <c r="V141" s="50">
        <v>-1.791915</v>
      </c>
      <c r="W141" s="6"/>
      <c r="X141" s="52"/>
      <c r="Y141" s="6"/>
      <c r="Z141" s="52"/>
      <c r="AA141" s="51">
        <v>-8824.78</v>
      </c>
      <c r="AB141" s="50">
        <v>-1.7861925</v>
      </c>
      <c r="AC141" s="6"/>
      <c r="AD141" s="52"/>
      <c r="AE141" s="6"/>
      <c r="AF141" s="52"/>
      <c r="AG141" s="51">
        <v>-8830.28</v>
      </c>
      <c r="AH141" s="50">
        <v>-1.79072</v>
      </c>
      <c r="AI141" s="6"/>
      <c r="AJ141" s="52"/>
    </row>
    <row x14ac:dyDescent="0.25" r="142" customHeight="1" ht="17.25">
      <c r="A142" s="11">
        <v>-8580.17</v>
      </c>
      <c r="B142" s="50">
        <v>-1.798595</v>
      </c>
      <c r="C142" s="51">
        <v>-8577.18</v>
      </c>
      <c r="D142" s="50">
        <v>-1.77611</v>
      </c>
      <c r="E142" s="51">
        <v>-8576.69</v>
      </c>
      <c r="F142" s="50">
        <v>-1.7845225</v>
      </c>
      <c r="G142" s="51">
        <v>-8578.18</v>
      </c>
      <c r="H142" s="50">
        <v>-1.7883375</v>
      </c>
      <c r="I142" s="51">
        <v>-8577.6</v>
      </c>
      <c r="J142" s="50">
        <v>-1.7884300000000002</v>
      </c>
      <c r="K142" s="51">
        <v>-8578.98</v>
      </c>
      <c r="L142" s="50">
        <v>-1.7838875</v>
      </c>
      <c r="M142" s="6"/>
      <c r="N142" s="52"/>
      <c r="O142" s="51">
        <v>-8578.06</v>
      </c>
      <c r="P142" s="50">
        <v>-1.78647</v>
      </c>
      <c r="Q142" s="6"/>
      <c r="R142" s="52"/>
      <c r="S142" s="6"/>
      <c r="T142" s="52"/>
      <c r="U142" s="51">
        <v>-8578.06</v>
      </c>
      <c r="V142" s="50">
        <v>-1.7866149999999998</v>
      </c>
      <c r="W142" s="6"/>
      <c r="X142" s="52"/>
      <c r="Y142" s="6"/>
      <c r="Z142" s="52"/>
      <c r="AA142" s="51">
        <v>-8579.7</v>
      </c>
      <c r="AB142" s="50">
        <v>-1.7808525</v>
      </c>
      <c r="AC142" s="6"/>
      <c r="AD142" s="52"/>
      <c r="AE142" s="6"/>
      <c r="AF142" s="52"/>
      <c r="AG142" s="51">
        <v>-8584.94</v>
      </c>
      <c r="AH142" s="50">
        <v>-1.78535</v>
      </c>
      <c r="AI142" s="6"/>
      <c r="AJ142" s="52"/>
    </row>
    <row x14ac:dyDescent="0.25" r="143" customHeight="1" ht="17.25">
      <c r="A143" s="11">
        <v>-8335.02</v>
      </c>
      <c r="B143" s="50">
        <v>-1.793315</v>
      </c>
      <c r="C143" s="51">
        <v>-8332.07</v>
      </c>
      <c r="D143" s="50">
        <v>-1.7709</v>
      </c>
      <c r="E143" s="51">
        <v>-8331.6</v>
      </c>
      <c r="F143" s="50">
        <v>-1.7792025</v>
      </c>
      <c r="G143" s="51">
        <v>-8333.06</v>
      </c>
      <c r="H143" s="50">
        <v>-1.7829875</v>
      </c>
      <c r="I143" s="51">
        <v>-8332.52</v>
      </c>
      <c r="J143" s="50">
        <v>-1.78308</v>
      </c>
      <c r="K143" s="51">
        <v>-8333.64</v>
      </c>
      <c r="L143" s="50">
        <v>-1.7785275</v>
      </c>
      <c r="M143" s="6"/>
      <c r="N143" s="52"/>
      <c r="O143" s="51">
        <v>-8333.04</v>
      </c>
      <c r="P143" s="50">
        <v>-1.78111</v>
      </c>
      <c r="Q143" s="6"/>
      <c r="R143" s="52"/>
      <c r="S143" s="6"/>
      <c r="T143" s="52"/>
      <c r="U143" s="51">
        <v>-8332.89</v>
      </c>
      <c r="V143" s="50">
        <v>-1.781295</v>
      </c>
      <c r="W143" s="6"/>
      <c r="X143" s="52"/>
      <c r="Y143" s="6"/>
      <c r="Z143" s="52"/>
      <c r="AA143" s="51">
        <v>-8334.45</v>
      </c>
      <c r="AB143" s="50">
        <v>-1.7754125</v>
      </c>
      <c r="AC143" s="6"/>
      <c r="AD143" s="52"/>
      <c r="AE143" s="6"/>
      <c r="AF143" s="52"/>
      <c r="AG143" s="51">
        <v>-8339.66</v>
      </c>
      <c r="AH143" s="50">
        <v>-1.77996</v>
      </c>
      <c r="AI143" s="6"/>
      <c r="AJ143" s="52"/>
    </row>
    <row x14ac:dyDescent="0.25" r="144" customHeight="1" ht="17.25">
      <c r="A144" s="11">
        <v>-8090</v>
      </c>
      <c r="B144" s="50">
        <v>-1.787865</v>
      </c>
      <c r="C144" s="51">
        <v>-8086.98</v>
      </c>
      <c r="D144" s="50">
        <v>-1.7655399999999999</v>
      </c>
      <c r="E144" s="51">
        <v>-8086.61</v>
      </c>
      <c r="F144" s="50">
        <v>-1.7737625</v>
      </c>
      <c r="G144" s="51">
        <v>-8088.09</v>
      </c>
      <c r="H144" s="50">
        <v>-1.7775875</v>
      </c>
      <c r="I144" s="51">
        <v>-8087.47</v>
      </c>
      <c r="J144" s="50">
        <v>-1.7776200000000002</v>
      </c>
      <c r="K144" s="51">
        <v>-8088.7</v>
      </c>
      <c r="L144" s="50">
        <v>-1.7731275</v>
      </c>
      <c r="M144" s="6"/>
      <c r="N144" s="52"/>
      <c r="O144" s="51">
        <v>-8088.07</v>
      </c>
      <c r="P144" s="50">
        <v>-1.77565</v>
      </c>
      <c r="Q144" s="6"/>
      <c r="R144" s="52"/>
      <c r="S144" s="6"/>
      <c r="T144" s="52"/>
      <c r="U144" s="51">
        <v>-8087.87</v>
      </c>
      <c r="V144" s="50">
        <v>-1.7758349999999998</v>
      </c>
      <c r="W144" s="6"/>
      <c r="X144" s="52"/>
      <c r="Y144" s="6"/>
      <c r="Z144" s="52"/>
      <c r="AA144" s="51">
        <v>-8089.31</v>
      </c>
      <c r="AB144" s="50">
        <v>-1.7698625000000001</v>
      </c>
      <c r="AC144" s="6"/>
      <c r="AD144" s="52"/>
      <c r="AE144" s="6"/>
      <c r="AF144" s="52"/>
      <c r="AG144" s="51">
        <v>-8094.4</v>
      </c>
      <c r="AH144" s="50">
        <v>-1.77445</v>
      </c>
      <c r="AI144" s="6"/>
      <c r="AJ144" s="52"/>
    </row>
    <row x14ac:dyDescent="0.25" r="145" customHeight="1" ht="17.25">
      <c r="A145" s="11">
        <v>-7844.7</v>
      </c>
      <c r="B145" s="50">
        <v>-1.782435</v>
      </c>
      <c r="C145" s="51">
        <v>-7841.84</v>
      </c>
      <c r="D145" s="50">
        <v>-1.76003</v>
      </c>
      <c r="E145" s="51">
        <v>-7841.42</v>
      </c>
      <c r="F145" s="50">
        <v>-1.7682725</v>
      </c>
      <c r="G145" s="51">
        <v>-7842.96</v>
      </c>
      <c r="H145" s="50">
        <v>-1.7722175</v>
      </c>
      <c r="I145" s="51">
        <v>-7842.39</v>
      </c>
      <c r="J145" s="50">
        <v>-1.77208</v>
      </c>
      <c r="K145" s="51">
        <v>-7843.64</v>
      </c>
      <c r="L145" s="50">
        <v>-1.7676375</v>
      </c>
      <c r="M145" s="6"/>
      <c r="N145" s="52"/>
      <c r="O145" s="51">
        <v>-7842.83</v>
      </c>
      <c r="P145" s="50">
        <v>-1.77003</v>
      </c>
      <c r="Q145" s="6"/>
      <c r="R145" s="52"/>
      <c r="S145" s="6"/>
      <c r="T145" s="52"/>
      <c r="U145" s="51">
        <v>-7842.78</v>
      </c>
      <c r="V145" s="50">
        <v>-1.7702650000000002</v>
      </c>
      <c r="W145" s="6"/>
      <c r="X145" s="52"/>
      <c r="Y145" s="6"/>
      <c r="Z145" s="52"/>
      <c r="AA145" s="51">
        <v>-7844.19</v>
      </c>
      <c r="AB145" s="50">
        <v>-1.7640925</v>
      </c>
      <c r="AC145" s="6"/>
      <c r="AD145" s="52"/>
      <c r="AE145" s="6"/>
      <c r="AF145" s="52"/>
      <c r="AG145" s="51">
        <v>-7849.16</v>
      </c>
      <c r="AH145" s="50">
        <v>-1.76887</v>
      </c>
      <c r="AI145" s="6"/>
      <c r="AJ145" s="52"/>
    </row>
    <row x14ac:dyDescent="0.25" r="146" customHeight="1" ht="17.25">
      <c r="A146" s="11">
        <v>-7599.46</v>
      </c>
      <c r="B146" s="50">
        <v>-1.7768549999999999</v>
      </c>
      <c r="C146" s="51">
        <v>-7596.58</v>
      </c>
      <c r="D146" s="50">
        <v>-1.75436</v>
      </c>
      <c r="E146" s="51">
        <v>-7596.22</v>
      </c>
      <c r="F146" s="50">
        <v>-1.7625225</v>
      </c>
      <c r="G146" s="51">
        <v>-7597.97</v>
      </c>
      <c r="H146" s="50">
        <v>-1.7665475000000002</v>
      </c>
      <c r="I146" s="51">
        <v>-7597.29</v>
      </c>
      <c r="J146" s="50">
        <v>-1.76645</v>
      </c>
      <c r="K146" s="51">
        <v>-7598.45</v>
      </c>
      <c r="L146" s="50">
        <v>-1.7620375</v>
      </c>
      <c r="M146" s="6"/>
      <c r="N146" s="52"/>
      <c r="O146" s="51">
        <v>-7597.6</v>
      </c>
      <c r="P146" s="50">
        <v>-1.76436</v>
      </c>
      <c r="Q146" s="6"/>
      <c r="R146" s="52"/>
      <c r="S146" s="6"/>
      <c r="T146" s="52"/>
      <c r="U146" s="51">
        <v>-7597.68</v>
      </c>
      <c r="V146" s="50">
        <v>-1.7645149999999998</v>
      </c>
      <c r="W146" s="6"/>
      <c r="X146" s="52"/>
      <c r="Y146" s="6"/>
      <c r="Z146" s="52"/>
      <c r="AA146" s="51">
        <v>-7598.86</v>
      </c>
      <c r="AB146" s="50">
        <v>-1.7582925</v>
      </c>
      <c r="AC146" s="6"/>
      <c r="AD146" s="52"/>
      <c r="AE146" s="6"/>
      <c r="AF146" s="52"/>
      <c r="AG146" s="51">
        <v>-7603.69</v>
      </c>
      <c r="AH146" s="50">
        <v>-1.76309</v>
      </c>
      <c r="AI146" s="6"/>
      <c r="AJ146" s="52"/>
    </row>
    <row x14ac:dyDescent="0.25" r="147" customHeight="1" ht="17.25">
      <c r="A147" s="11">
        <v>-7354.35</v>
      </c>
      <c r="B147" s="50">
        <v>-1.771065</v>
      </c>
      <c r="C147" s="51">
        <v>-7351.51</v>
      </c>
      <c r="D147" s="50">
        <v>-1.74869</v>
      </c>
      <c r="E147" s="51">
        <v>-7351.27</v>
      </c>
      <c r="F147" s="50">
        <v>-1.7567225</v>
      </c>
      <c r="G147" s="51">
        <v>-7353.03</v>
      </c>
      <c r="H147" s="50">
        <v>-1.7607175000000002</v>
      </c>
      <c r="I147" s="51">
        <v>-7352.36</v>
      </c>
      <c r="J147" s="50">
        <v>-1.7605600000000001</v>
      </c>
      <c r="K147" s="51">
        <v>-7353.36</v>
      </c>
      <c r="L147" s="50">
        <v>-1.7562674999999999</v>
      </c>
      <c r="M147" s="6"/>
      <c r="N147" s="52"/>
      <c r="O147" s="51">
        <v>-7352.58</v>
      </c>
      <c r="P147" s="50">
        <v>-1.75855</v>
      </c>
      <c r="Q147" s="6"/>
      <c r="R147" s="52"/>
      <c r="S147" s="6"/>
      <c r="T147" s="52"/>
      <c r="U147" s="51">
        <v>-7352.51</v>
      </c>
      <c r="V147" s="50">
        <v>-1.7587549999999998</v>
      </c>
      <c r="W147" s="6"/>
      <c r="X147" s="52"/>
      <c r="Y147" s="6"/>
      <c r="Z147" s="52"/>
      <c r="AA147" s="51">
        <v>-7353.83</v>
      </c>
      <c r="AB147" s="50">
        <v>-1.7524225</v>
      </c>
      <c r="AC147" s="6"/>
      <c r="AD147" s="52"/>
      <c r="AE147" s="6"/>
      <c r="AF147" s="52"/>
      <c r="AG147" s="51">
        <v>-7358.41</v>
      </c>
      <c r="AH147" s="50">
        <v>-1.7571</v>
      </c>
      <c r="AI147" s="6"/>
      <c r="AJ147" s="52"/>
    </row>
    <row x14ac:dyDescent="0.25" r="148" customHeight="1" ht="17.25">
      <c r="A148" s="11">
        <v>-7109.18</v>
      </c>
      <c r="B148" s="50">
        <v>-1.765175</v>
      </c>
      <c r="C148" s="51">
        <v>-7106.52</v>
      </c>
      <c r="D148" s="50">
        <v>-1.74281</v>
      </c>
      <c r="E148" s="51">
        <v>-7106.05</v>
      </c>
      <c r="F148" s="50">
        <v>-1.7507025</v>
      </c>
      <c r="G148" s="51">
        <v>-7107.82</v>
      </c>
      <c r="H148" s="50">
        <v>-1.7548575</v>
      </c>
      <c r="I148" s="51">
        <v>-7107.19</v>
      </c>
      <c r="J148" s="50">
        <v>-1.75459</v>
      </c>
      <c r="K148" s="51">
        <v>-7108.04</v>
      </c>
      <c r="L148" s="50">
        <v>-1.7503775</v>
      </c>
      <c r="M148" s="6"/>
      <c r="N148" s="52"/>
      <c r="O148" s="51">
        <v>-7107.39</v>
      </c>
      <c r="P148" s="50">
        <v>-1.75256</v>
      </c>
      <c r="Q148" s="6"/>
      <c r="R148" s="52"/>
      <c r="S148" s="6"/>
      <c r="T148" s="52"/>
      <c r="U148" s="51">
        <v>-7107.57</v>
      </c>
      <c r="V148" s="50">
        <v>-1.752805</v>
      </c>
      <c r="W148" s="6"/>
      <c r="X148" s="52"/>
      <c r="Y148" s="6"/>
      <c r="Z148" s="52"/>
      <c r="AA148" s="51">
        <v>-7109</v>
      </c>
      <c r="AB148" s="50">
        <v>-1.7462825</v>
      </c>
      <c r="AC148" s="6"/>
      <c r="AD148" s="52"/>
      <c r="AE148" s="6"/>
      <c r="AF148" s="52"/>
      <c r="AG148" s="51">
        <v>-7113.22</v>
      </c>
      <c r="AH148" s="50">
        <v>-1.75106</v>
      </c>
      <c r="AI148" s="6"/>
      <c r="AJ148" s="52"/>
    </row>
    <row x14ac:dyDescent="0.25" r="149" customHeight="1" ht="17.25">
      <c r="A149" s="11">
        <v>-6864.21</v>
      </c>
      <c r="B149" s="50">
        <v>-1.759135</v>
      </c>
      <c r="C149" s="51">
        <v>-6861.39</v>
      </c>
      <c r="D149" s="50">
        <v>-1.73672</v>
      </c>
      <c r="E149" s="51">
        <v>-6861.12</v>
      </c>
      <c r="F149" s="50">
        <v>-1.7446424999999999</v>
      </c>
      <c r="G149" s="51">
        <v>-6862.68</v>
      </c>
      <c r="H149" s="50">
        <v>-1.7489175000000001</v>
      </c>
      <c r="I149" s="51">
        <v>-6862.18</v>
      </c>
      <c r="J149" s="50">
        <v>-1.7485300000000001</v>
      </c>
      <c r="K149" s="51">
        <v>-6863</v>
      </c>
      <c r="L149" s="50">
        <v>-1.7444175</v>
      </c>
      <c r="M149" s="6"/>
      <c r="N149" s="52"/>
      <c r="O149" s="51">
        <v>-6862.3</v>
      </c>
      <c r="P149" s="50">
        <v>-1.74651</v>
      </c>
      <c r="Q149" s="6"/>
      <c r="R149" s="52"/>
      <c r="S149" s="6"/>
      <c r="T149" s="52"/>
      <c r="U149" s="51">
        <v>-6862.41</v>
      </c>
      <c r="V149" s="50">
        <v>-1.7467350000000001</v>
      </c>
      <c r="W149" s="6"/>
      <c r="X149" s="52"/>
      <c r="Y149" s="6"/>
      <c r="Z149" s="52"/>
      <c r="AA149" s="51">
        <v>-6863.78</v>
      </c>
      <c r="AB149" s="50">
        <v>-1.7400725000000001</v>
      </c>
      <c r="AC149" s="6"/>
      <c r="AD149" s="52"/>
      <c r="AE149" s="6"/>
      <c r="AF149" s="52"/>
      <c r="AG149" s="51">
        <v>-6867.98</v>
      </c>
      <c r="AH149" s="50">
        <v>-1.7449000000000001</v>
      </c>
      <c r="AI149" s="6"/>
      <c r="AJ149" s="52"/>
    </row>
    <row x14ac:dyDescent="0.25" r="150" customHeight="1" ht="17.25">
      <c r="A150" s="11">
        <v>-6618.95</v>
      </c>
      <c r="B150" s="50">
        <v>-1.7529649999999999</v>
      </c>
      <c r="C150" s="51">
        <v>-6616.43</v>
      </c>
      <c r="D150" s="50">
        <v>-1.73061</v>
      </c>
      <c r="E150" s="51">
        <v>-6616.15</v>
      </c>
      <c r="F150" s="50">
        <v>-1.7383925</v>
      </c>
      <c r="G150" s="51">
        <v>-6617.55</v>
      </c>
      <c r="H150" s="50">
        <v>-1.7427275</v>
      </c>
      <c r="I150" s="51">
        <v>-6617.15</v>
      </c>
      <c r="J150" s="50">
        <v>-1.74224</v>
      </c>
      <c r="K150" s="51">
        <v>-6617.91</v>
      </c>
      <c r="L150" s="50">
        <v>-1.7382075</v>
      </c>
      <c r="M150" s="6"/>
      <c r="N150" s="52"/>
      <c r="O150" s="51">
        <v>-6617.27</v>
      </c>
      <c r="P150" s="50">
        <v>-1.7403</v>
      </c>
      <c r="Q150" s="6"/>
      <c r="R150" s="52"/>
      <c r="S150" s="6"/>
      <c r="T150" s="52"/>
      <c r="U150" s="51">
        <v>-6617.26</v>
      </c>
      <c r="V150" s="50">
        <v>-1.7405149999999998</v>
      </c>
      <c r="W150" s="6"/>
      <c r="X150" s="52"/>
      <c r="Y150" s="6"/>
      <c r="Z150" s="52"/>
      <c r="AA150" s="51">
        <v>-6618.76</v>
      </c>
      <c r="AB150" s="50">
        <v>-1.7336225</v>
      </c>
      <c r="AC150" s="6"/>
      <c r="AD150" s="52"/>
      <c r="AE150" s="6"/>
      <c r="AF150" s="52"/>
      <c r="AG150" s="51">
        <v>-6622.79</v>
      </c>
      <c r="AH150" s="50">
        <v>-1.73847</v>
      </c>
      <c r="AI150" s="6"/>
      <c r="AJ150" s="52"/>
    </row>
    <row x14ac:dyDescent="0.25" r="151" customHeight="1" ht="17.25">
      <c r="A151" s="11">
        <v>-6374.05</v>
      </c>
      <c r="B151" s="50">
        <v>-1.7466549999999998</v>
      </c>
      <c r="C151" s="51">
        <v>-6371.49</v>
      </c>
      <c r="D151" s="50">
        <v>-1.72427</v>
      </c>
      <c r="E151" s="51">
        <v>-6371.01</v>
      </c>
      <c r="F151" s="50">
        <v>-1.7319425</v>
      </c>
      <c r="G151" s="51">
        <v>-6372.49</v>
      </c>
      <c r="H151" s="50">
        <v>-1.7363875000000002</v>
      </c>
      <c r="I151" s="51">
        <v>-6372.1</v>
      </c>
      <c r="J151" s="50">
        <v>-1.7359200000000001</v>
      </c>
      <c r="K151" s="51">
        <v>-6372.95</v>
      </c>
      <c r="L151" s="50">
        <v>-1.7318175</v>
      </c>
      <c r="M151" s="6"/>
      <c r="N151" s="52"/>
      <c r="O151" s="51">
        <v>-6372.2</v>
      </c>
      <c r="P151" s="50">
        <v>-1.73389</v>
      </c>
      <c r="Q151" s="6"/>
      <c r="R151" s="52"/>
      <c r="S151" s="6"/>
      <c r="T151" s="52"/>
      <c r="U151" s="51">
        <v>-6372.24</v>
      </c>
      <c r="V151" s="50">
        <v>-1.7340749999999998</v>
      </c>
      <c r="W151" s="6"/>
      <c r="X151" s="52"/>
      <c r="Y151" s="6"/>
      <c r="Z151" s="52"/>
      <c r="AA151" s="51">
        <v>-6373.59</v>
      </c>
      <c r="AB151" s="50">
        <v>-1.7270325</v>
      </c>
      <c r="AC151" s="6"/>
      <c r="AD151" s="52"/>
      <c r="AE151" s="6"/>
      <c r="AF151" s="52"/>
      <c r="AG151" s="51">
        <v>-6377.44</v>
      </c>
      <c r="AH151" s="50">
        <v>-1.73197</v>
      </c>
      <c r="AI151" s="6"/>
      <c r="AJ151" s="52"/>
    </row>
    <row x14ac:dyDescent="0.25" r="152" customHeight="1" ht="17.25">
      <c r="A152" s="11">
        <v>-6128.9</v>
      </c>
      <c r="B152" s="50">
        <v>-1.7401849999999999</v>
      </c>
      <c r="C152" s="51">
        <v>-6126.43</v>
      </c>
      <c r="D152" s="50">
        <v>-1.7177799999999999</v>
      </c>
      <c r="E152" s="51">
        <v>-6126.01</v>
      </c>
      <c r="F152" s="50">
        <v>-1.7252925</v>
      </c>
      <c r="G152" s="51">
        <v>-6127.44</v>
      </c>
      <c r="H152" s="50">
        <v>-1.7299075</v>
      </c>
      <c r="I152" s="51">
        <v>-6126.91</v>
      </c>
      <c r="J152" s="50">
        <v>-1.72936</v>
      </c>
      <c r="K152" s="51">
        <v>-6127.81</v>
      </c>
      <c r="L152" s="50">
        <v>-1.7252075</v>
      </c>
      <c r="M152" s="6"/>
      <c r="N152" s="52"/>
      <c r="O152" s="51">
        <v>-6127.2</v>
      </c>
      <c r="P152" s="50">
        <v>-1.72733</v>
      </c>
      <c r="Q152" s="6"/>
      <c r="R152" s="52"/>
      <c r="S152" s="6"/>
      <c r="T152" s="52"/>
      <c r="U152" s="51">
        <v>-6127.1</v>
      </c>
      <c r="V152" s="50">
        <v>-1.7275550000000002</v>
      </c>
      <c r="W152" s="6"/>
      <c r="X152" s="52"/>
      <c r="Y152" s="6"/>
      <c r="Z152" s="52"/>
      <c r="AA152" s="51">
        <v>-6128.31</v>
      </c>
      <c r="AB152" s="50">
        <v>-1.7202425000000001</v>
      </c>
      <c r="AC152" s="6"/>
      <c r="AD152" s="52"/>
      <c r="AE152" s="6"/>
      <c r="AF152" s="52"/>
      <c r="AG152" s="51">
        <v>-6132.28</v>
      </c>
      <c r="AH152" s="50">
        <v>-1.72527</v>
      </c>
      <c r="AI152" s="6"/>
      <c r="AJ152" s="52"/>
    </row>
    <row x14ac:dyDescent="0.25" r="153" customHeight="1" ht="17.25">
      <c r="A153" s="11">
        <v>-5883.64</v>
      </c>
      <c r="B153" s="50">
        <v>-1.733615</v>
      </c>
      <c r="C153" s="51">
        <v>-5881.5</v>
      </c>
      <c r="D153" s="50">
        <v>-1.7110699999999999</v>
      </c>
      <c r="E153" s="51">
        <v>-5881.08</v>
      </c>
      <c r="F153" s="50">
        <v>-1.7184825</v>
      </c>
      <c r="G153" s="51">
        <v>-5882.27</v>
      </c>
      <c r="H153" s="50">
        <v>-1.7233075000000002</v>
      </c>
      <c r="I153" s="51">
        <v>-5881.75</v>
      </c>
      <c r="J153" s="50">
        <v>-1.72255</v>
      </c>
      <c r="K153" s="51">
        <v>-5882.77</v>
      </c>
      <c r="L153" s="50">
        <v>-1.7184175</v>
      </c>
      <c r="M153" s="6"/>
      <c r="N153" s="52"/>
      <c r="O153" s="51">
        <v>-5882.11</v>
      </c>
      <c r="P153" s="50">
        <v>-1.72047</v>
      </c>
      <c r="Q153" s="6"/>
      <c r="R153" s="52"/>
      <c r="S153" s="6"/>
      <c r="T153" s="52"/>
      <c r="U153" s="51">
        <v>-5881.95</v>
      </c>
      <c r="V153" s="50">
        <v>-1.720825</v>
      </c>
      <c r="W153" s="6"/>
      <c r="X153" s="52"/>
      <c r="Y153" s="6"/>
      <c r="Z153" s="52"/>
      <c r="AA153" s="51">
        <v>-5883.11</v>
      </c>
      <c r="AB153" s="50">
        <v>-1.7132125</v>
      </c>
      <c r="AC153" s="6"/>
      <c r="AD153" s="52"/>
      <c r="AE153" s="6"/>
      <c r="AF153" s="52"/>
      <c r="AG153" s="51">
        <v>-5886.91</v>
      </c>
      <c r="AH153" s="50">
        <v>-1.71836</v>
      </c>
      <c r="AI153" s="6"/>
      <c r="AJ153" s="52"/>
    </row>
    <row x14ac:dyDescent="0.25" r="154" customHeight="1" ht="17.25">
      <c r="A154" s="11">
        <v>-5638.45</v>
      </c>
      <c r="B154" s="50">
        <v>-1.726835</v>
      </c>
      <c r="C154" s="51">
        <v>-5636.31</v>
      </c>
      <c r="D154" s="50">
        <v>-1.7042</v>
      </c>
      <c r="E154" s="51">
        <v>-5636.03</v>
      </c>
      <c r="F154" s="50">
        <v>-1.7114624999999999</v>
      </c>
      <c r="G154" s="51">
        <v>-5637.31</v>
      </c>
      <c r="H154" s="50">
        <v>-1.7163575</v>
      </c>
      <c r="I154" s="51">
        <v>-5636.62</v>
      </c>
      <c r="J154" s="50">
        <v>-1.7156200000000001</v>
      </c>
      <c r="K154" s="51">
        <v>-5637.57</v>
      </c>
      <c r="L154" s="50">
        <v>-1.7114075</v>
      </c>
      <c r="M154" s="6"/>
      <c r="N154" s="52"/>
      <c r="O154" s="51">
        <v>-5636.9</v>
      </c>
      <c r="P154" s="50">
        <v>-1.71357</v>
      </c>
      <c r="Q154" s="6"/>
      <c r="R154" s="52"/>
      <c r="S154" s="6"/>
      <c r="T154" s="52"/>
      <c r="U154" s="51">
        <v>-5636.83</v>
      </c>
      <c r="V154" s="50">
        <v>-1.7138550000000001</v>
      </c>
      <c r="W154" s="6"/>
      <c r="X154" s="52"/>
      <c r="Y154" s="6"/>
      <c r="Z154" s="52"/>
      <c r="AA154" s="51">
        <v>-5637.86</v>
      </c>
      <c r="AB154" s="50">
        <v>-1.7060025</v>
      </c>
      <c r="AC154" s="6"/>
      <c r="AD154" s="52"/>
      <c r="AE154" s="6"/>
      <c r="AF154" s="52"/>
      <c r="AG154" s="51">
        <v>-5641.63</v>
      </c>
      <c r="AH154" s="50">
        <v>-1.71123</v>
      </c>
      <c r="AI154" s="6"/>
      <c r="AJ154" s="52"/>
    </row>
    <row x14ac:dyDescent="0.25" r="155" customHeight="1" ht="17.25">
      <c r="A155" s="11">
        <v>-5393.17</v>
      </c>
      <c r="B155" s="50">
        <v>-1.7197749999999998</v>
      </c>
      <c r="C155" s="51">
        <v>-5391.25</v>
      </c>
      <c r="D155" s="50">
        <v>-1.69713</v>
      </c>
      <c r="E155" s="51">
        <v>-5390.85</v>
      </c>
      <c r="F155" s="50">
        <v>-1.7042625</v>
      </c>
      <c r="G155" s="51">
        <v>-5392.18</v>
      </c>
      <c r="H155" s="50">
        <v>-1.7092975</v>
      </c>
      <c r="I155" s="51">
        <v>-5391.59</v>
      </c>
      <c r="J155" s="50">
        <v>-1.70842</v>
      </c>
      <c r="K155" s="51">
        <v>-5392.33</v>
      </c>
      <c r="L155" s="50">
        <v>-1.7041575</v>
      </c>
      <c r="M155" s="6"/>
      <c r="N155" s="52"/>
      <c r="O155" s="51">
        <v>-5391.87</v>
      </c>
      <c r="P155" s="50">
        <v>-1.7063599999999999</v>
      </c>
      <c r="Q155" s="6"/>
      <c r="R155" s="52"/>
      <c r="S155" s="6"/>
      <c r="T155" s="52"/>
      <c r="U155" s="51">
        <v>-5391.76</v>
      </c>
      <c r="V155" s="50">
        <v>-1.706715</v>
      </c>
      <c r="W155" s="6"/>
      <c r="X155" s="52"/>
      <c r="Y155" s="6"/>
      <c r="Z155" s="52"/>
      <c r="AA155" s="51">
        <v>-5392.98</v>
      </c>
      <c r="AB155" s="50">
        <v>-1.6985425</v>
      </c>
      <c r="AC155" s="6"/>
      <c r="AD155" s="52"/>
      <c r="AE155" s="6"/>
      <c r="AF155" s="52"/>
      <c r="AG155" s="51">
        <v>-5396.38</v>
      </c>
      <c r="AH155" s="50">
        <v>-1.70388</v>
      </c>
      <c r="AI155" s="6"/>
      <c r="AJ155" s="52"/>
    </row>
    <row x14ac:dyDescent="0.25" r="156" customHeight="1" ht="17.25">
      <c r="A156" s="11">
        <v>-5147.97</v>
      </c>
      <c r="B156" s="50">
        <v>-1.712515</v>
      </c>
      <c r="C156" s="51">
        <v>-5146.24</v>
      </c>
      <c r="D156" s="50">
        <v>-1.6898</v>
      </c>
      <c r="E156" s="51">
        <v>-5145.86</v>
      </c>
      <c r="F156" s="50">
        <v>-1.6968425</v>
      </c>
      <c r="G156" s="51">
        <v>-5147.21</v>
      </c>
      <c r="H156" s="50">
        <v>-1.7020175000000002</v>
      </c>
      <c r="I156" s="51">
        <v>-5146.52</v>
      </c>
      <c r="J156" s="50">
        <v>-1.7009800000000002</v>
      </c>
      <c r="K156" s="51">
        <v>-5147.17</v>
      </c>
      <c r="L156" s="50">
        <v>-1.6967575</v>
      </c>
      <c r="M156" s="6"/>
      <c r="N156" s="52"/>
      <c r="O156" s="51">
        <v>-5146.9</v>
      </c>
      <c r="P156" s="50">
        <v>-1.6988299999999998</v>
      </c>
      <c r="Q156" s="6"/>
      <c r="R156" s="52"/>
      <c r="S156" s="6"/>
      <c r="T156" s="52"/>
      <c r="U156" s="51">
        <v>-5146.82</v>
      </c>
      <c r="V156" s="50">
        <v>-1.6993049999999998</v>
      </c>
      <c r="W156" s="6"/>
      <c r="X156" s="52"/>
      <c r="Y156" s="6"/>
      <c r="Z156" s="52"/>
      <c r="AA156" s="51">
        <v>-5147.85</v>
      </c>
      <c r="AB156" s="50">
        <v>-1.6907525</v>
      </c>
      <c r="AC156" s="6"/>
      <c r="AD156" s="52"/>
      <c r="AE156" s="6"/>
      <c r="AF156" s="52"/>
      <c r="AG156" s="51">
        <v>-5151.03</v>
      </c>
      <c r="AH156" s="50">
        <v>-1.69624</v>
      </c>
      <c r="AI156" s="6"/>
      <c r="AJ156" s="52"/>
    </row>
    <row x14ac:dyDescent="0.25" r="157" customHeight="1" ht="17.25">
      <c r="A157" s="11">
        <v>-4902.78</v>
      </c>
      <c r="B157" s="50">
        <v>-1.704925</v>
      </c>
      <c r="C157" s="51">
        <v>-4901.05</v>
      </c>
      <c r="D157" s="50">
        <v>-1.68214</v>
      </c>
      <c r="E157" s="51">
        <v>-4901.01</v>
      </c>
      <c r="F157" s="50">
        <v>-1.6890825</v>
      </c>
      <c r="G157" s="51">
        <v>-4902.06</v>
      </c>
      <c r="H157" s="50">
        <v>-1.6943975</v>
      </c>
      <c r="I157" s="51">
        <v>-4901.32</v>
      </c>
      <c r="J157" s="50">
        <v>-1.6931</v>
      </c>
      <c r="K157" s="51">
        <v>-4902.1</v>
      </c>
      <c r="L157" s="50">
        <v>-1.6889675</v>
      </c>
      <c r="M157" s="6"/>
      <c r="N157" s="52"/>
      <c r="O157" s="51">
        <v>-4901.82</v>
      </c>
      <c r="P157" s="50">
        <v>-1.69113</v>
      </c>
      <c r="Q157" s="6"/>
      <c r="R157" s="52"/>
      <c r="S157" s="6"/>
      <c r="T157" s="52"/>
      <c r="U157" s="51">
        <v>-4901.58</v>
      </c>
      <c r="V157" s="50">
        <v>-1.6916950000000002</v>
      </c>
      <c r="W157" s="6"/>
      <c r="X157" s="52"/>
      <c r="Y157" s="6"/>
      <c r="Z157" s="52"/>
      <c r="AA157" s="51">
        <v>-4902.7</v>
      </c>
      <c r="AB157" s="50">
        <v>-1.6828325</v>
      </c>
      <c r="AC157" s="6"/>
      <c r="AD157" s="52"/>
      <c r="AE157" s="6"/>
      <c r="AF157" s="52"/>
      <c r="AG157" s="51">
        <v>-4905.63</v>
      </c>
      <c r="AH157" s="50">
        <v>-1.68831</v>
      </c>
      <c r="AI157" s="6"/>
      <c r="AJ157" s="52"/>
    </row>
    <row x14ac:dyDescent="0.25" r="158" customHeight="1" ht="17.25">
      <c r="A158" s="11">
        <v>-4657.71</v>
      </c>
      <c r="B158" s="50">
        <v>-1.6971349999999998</v>
      </c>
      <c r="C158" s="51">
        <v>-4656.03</v>
      </c>
      <c r="D158" s="50">
        <v>-1.67418</v>
      </c>
      <c r="E158" s="51">
        <v>-4655.86</v>
      </c>
      <c r="F158" s="50">
        <v>-1.6809525</v>
      </c>
      <c r="G158" s="51">
        <v>-4656.9</v>
      </c>
      <c r="H158" s="50">
        <v>-1.6866875000000001</v>
      </c>
      <c r="I158" s="51">
        <v>-4656.36</v>
      </c>
      <c r="J158" s="50">
        <v>-1.6850500000000002</v>
      </c>
      <c r="K158" s="51">
        <v>-4656.96</v>
      </c>
      <c r="L158" s="50">
        <v>-1.6809675</v>
      </c>
      <c r="M158" s="6"/>
      <c r="N158" s="52"/>
      <c r="O158" s="51">
        <v>-4656.67</v>
      </c>
      <c r="P158" s="50">
        <v>-1.68305</v>
      </c>
      <c r="Q158" s="6"/>
      <c r="R158" s="52"/>
      <c r="S158" s="6"/>
      <c r="T158" s="52"/>
      <c r="U158" s="51">
        <v>-4656.56</v>
      </c>
      <c r="V158" s="50">
        <v>-1.683685</v>
      </c>
      <c r="W158" s="6"/>
      <c r="X158" s="52"/>
      <c r="Y158" s="6"/>
      <c r="Z158" s="52"/>
      <c r="AA158" s="51">
        <v>-4657.51</v>
      </c>
      <c r="AB158" s="50">
        <v>-1.6744125</v>
      </c>
      <c r="AC158" s="6"/>
      <c r="AD158" s="52"/>
      <c r="AE158" s="6"/>
      <c r="AF158" s="52"/>
      <c r="AG158" s="51">
        <v>-4660.46</v>
      </c>
      <c r="AH158" s="50">
        <v>-1.68003</v>
      </c>
      <c r="AI158" s="6"/>
      <c r="AJ158" s="52"/>
    </row>
    <row x14ac:dyDescent="0.25" r="159" customHeight="1" ht="17.25">
      <c r="A159" s="11">
        <v>-4412.61</v>
      </c>
      <c r="B159" s="50">
        <v>-1.689055</v>
      </c>
      <c r="C159" s="51">
        <v>-4410.91</v>
      </c>
      <c r="D159" s="50">
        <v>-1.66592</v>
      </c>
      <c r="E159" s="51">
        <v>-4410.8</v>
      </c>
      <c r="F159" s="50">
        <v>-1.6724525</v>
      </c>
      <c r="G159" s="51">
        <v>-4411.77</v>
      </c>
      <c r="H159" s="50">
        <v>-1.6785275</v>
      </c>
      <c r="I159" s="51">
        <v>-4411.26</v>
      </c>
      <c r="J159" s="50">
        <v>-1.67655</v>
      </c>
      <c r="K159" s="51">
        <v>-4411.88</v>
      </c>
      <c r="L159" s="50">
        <v>-1.6724975</v>
      </c>
      <c r="M159" s="6"/>
      <c r="N159" s="52"/>
      <c r="O159" s="51">
        <v>-4411.61</v>
      </c>
      <c r="P159" s="50">
        <v>-1.67456</v>
      </c>
      <c r="Q159" s="6"/>
      <c r="R159" s="52"/>
      <c r="S159" s="6"/>
      <c r="T159" s="52"/>
      <c r="U159" s="51">
        <v>-4411.37</v>
      </c>
      <c r="V159" s="50">
        <v>-1.675275</v>
      </c>
      <c r="W159" s="6"/>
      <c r="X159" s="52"/>
      <c r="Y159" s="6"/>
      <c r="Z159" s="52"/>
      <c r="AA159" s="51">
        <v>-4412.46</v>
      </c>
      <c r="AB159" s="50">
        <v>-1.6654825</v>
      </c>
      <c r="AC159" s="6"/>
      <c r="AD159" s="52"/>
      <c r="AE159" s="6"/>
      <c r="AF159" s="52"/>
      <c r="AG159" s="51">
        <v>-4415.15</v>
      </c>
      <c r="AH159" s="50">
        <v>-1.67133</v>
      </c>
      <c r="AI159" s="6"/>
      <c r="AJ159" s="52"/>
    </row>
    <row x14ac:dyDescent="0.25" r="160" customHeight="1" ht="17.25">
      <c r="A160" s="11">
        <v>-4167.33</v>
      </c>
      <c r="B160" s="50">
        <v>-1.680685</v>
      </c>
      <c r="C160" s="51">
        <v>-4165.91</v>
      </c>
      <c r="D160" s="50">
        <v>-1.65731</v>
      </c>
      <c r="E160" s="51">
        <v>-4165.74</v>
      </c>
      <c r="F160" s="50">
        <v>-1.6635525</v>
      </c>
      <c r="G160" s="51">
        <v>-4166.68</v>
      </c>
      <c r="H160" s="50">
        <v>-1.6699575000000002</v>
      </c>
      <c r="I160" s="51">
        <v>-4166.25</v>
      </c>
      <c r="J160" s="50">
        <v>-1.66761</v>
      </c>
      <c r="K160" s="51">
        <v>-4166.67</v>
      </c>
      <c r="L160" s="50">
        <v>-1.6635775</v>
      </c>
      <c r="M160" s="6"/>
      <c r="N160" s="52"/>
      <c r="O160" s="51">
        <v>-4166.49</v>
      </c>
      <c r="P160" s="50">
        <v>-1.66566</v>
      </c>
      <c r="Q160" s="6"/>
      <c r="R160" s="52"/>
      <c r="S160" s="6"/>
      <c r="T160" s="52"/>
      <c r="U160" s="51">
        <v>-4166.31</v>
      </c>
      <c r="V160" s="50">
        <v>-1.6664849999999998</v>
      </c>
      <c r="W160" s="6"/>
      <c r="X160" s="52"/>
      <c r="Y160" s="6"/>
      <c r="Z160" s="52"/>
      <c r="AA160" s="51">
        <v>-4167.27</v>
      </c>
      <c r="AB160" s="50">
        <v>-1.6562225000000002</v>
      </c>
      <c r="AC160" s="6"/>
      <c r="AD160" s="52"/>
      <c r="AE160" s="6"/>
      <c r="AF160" s="52"/>
      <c r="AG160" s="51">
        <v>-4169.78</v>
      </c>
      <c r="AH160" s="50">
        <v>-1.66224</v>
      </c>
      <c r="AI160" s="6"/>
      <c r="AJ160" s="52"/>
    </row>
    <row x14ac:dyDescent="0.25" r="161" customHeight="1" ht="17.25">
      <c r="A161" s="11">
        <v>-3922.23</v>
      </c>
      <c r="B161" s="50">
        <v>-1.6717549999999999</v>
      </c>
      <c r="C161" s="51">
        <v>-3920.85</v>
      </c>
      <c r="D161" s="50">
        <v>-1.64822</v>
      </c>
      <c r="E161" s="51">
        <v>-3920.65</v>
      </c>
      <c r="F161" s="50">
        <v>-1.6541425</v>
      </c>
      <c r="G161" s="51">
        <v>-3921.61</v>
      </c>
      <c r="H161" s="50">
        <v>-1.6609975000000001</v>
      </c>
      <c r="I161" s="51">
        <v>-3921.06</v>
      </c>
      <c r="J161" s="50">
        <v>-1.65822</v>
      </c>
      <c r="K161" s="51">
        <v>-3921.64</v>
      </c>
      <c r="L161" s="50">
        <v>-1.6541975</v>
      </c>
      <c r="M161" s="6"/>
      <c r="N161" s="52"/>
      <c r="O161" s="51">
        <v>-3921.37</v>
      </c>
      <c r="P161" s="50">
        <v>-1.65625</v>
      </c>
      <c r="Q161" s="6"/>
      <c r="R161" s="52"/>
      <c r="S161" s="6"/>
      <c r="T161" s="52"/>
      <c r="U161" s="51">
        <v>-3921.31</v>
      </c>
      <c r="V161" s="50">
        <v>-1.6572550000000001</v>
      </c>
      <c r="W161" s="6"/>
      <c r="X161" s="52"/>
      <c r="Y161" s="6"/>
      <c r="Z161" s="52"/>
      <c r="AA161" s="51">
        <v>-3922.02</v>
      </c>
      <c r="AB161" s="50">
        <v>-1.6464225000000001</v>
      </c>
      <c r="AC161" s="6"/>
      <c r="AD161" s="52"/>
      <c r="AE161" s="6"/>
      <c r="AF161" s="52"/>
      <c r="AG161" s="51">
        <v>-3924.48</v>
      </c>
      <c r="AH161" s="50">
        <v>-1.65264</v>
      </c>
      <c r="AI161" s="6"/>
      <c r="AJ161" s="52"/>
    </row>
    <row x14ac:dyDescent="0.25" r="162" customHeight="1" ht="17.25">
      <c r="A162" s="11">
        <v>-3677.09</v>
      </c>
      <c r="B162" s="50">
        <v>-1.6624649999999999</v>
      </c>
      <c r="C162" s="51">
        <v>-3675.82</v>
      </c>
      <c r="D162" s="50">
        <v>-1.63853</v>
      </c>
      <c r="E162" s="51">
        <v>-3675.65</v>
      </c>
      <c r="F162" s="50">
        <v>-1.6441225</v>
      </c>
      <c r="G162" s="51">
        <v>-3676.58</v>
      </c>
      <c r="H162" s="50">
        <v>-1.6514975</v>
      </c>
      <c r="I162" s="51">
        <v>-3676.16</v>
      </c>
      <c r="J162" s="50">
        <v>-1.6481000000000001</v>
      </c>
      <c r="K162" s="51">
        <v>-3676.55</v>
      </c>
      <c r="L162" s="50">
        <v>-1.6442174999999999</v>
      </c>
      <c r="M162" s="6"/>
      <c r="N162" s="52"/>
      <c r="O162" s="51">
        <v>-3676.34</v>
      </c>
      <c r="P162" s="50">
        <v>-1.64627</v>
      </c>
      <c r="Q162" s="6"/>
      <c r="R162" s="52"/>
      <c r="S162" s="6"/>
      <c r="T162" s="52"/>
      <c r="U162" s="51">
        <v>-3676.29</v>
      </c>
      <c r="V162" s="50">
        <v>-1.6474449999999998</v>
      </c>
      <c r="W162" s="6"/>
      <c r="X162" s="52"/>
      <c r="Y162" s="6"/>
      <c r="Z162" s="52"/>
      <c r="AA162" s="51">
        <v>-3676.94</v>
      </c>
      <c r="AB162" s="50">
        <v>-1.6358825000000001</v>
      </c>
      <c r="AC162" s="6"/>
      <c r="AD162" s="52"/>
      <c r="AE162" s="6"/>
      <c r="AF162" s="52"/>
      <c r="AG162" s="51">
        <v>-3679.29</v>
      </c>
      <c r="AH162" s="50">
        <v>-1.64245</v>
      </c>
      <c r="AI162" s="6"/>
      <c r="AJ162" s="52"/>
    </row>
    <row x14ac:dyDescent="0.25" r="163" customHeight="1" ht="17.25">
      <c r="A163" s="11">
        <v>-3431.99</v>
      </c>
      <c r="B163" s="50">
        <v>-1.652525</v>
      </c>
      <c r="C163" s="51">
        <v>-3430.76</v>
      </c>
      <c r="D163" s="50">
        <v>-1.62823</v>
      </c>
      <c r="E163" s="51">
        <v>-3430.62</v>
      </c>
      <c r="F163" s="50">
        <v>-1.6333625</v>
      </c>
      <c r="G163" s="51">
        <v>-3431.51</v>
      </c>
      <c r="H163" s="50">
        <v>-1.6414075000000001</v>
      </c>
      <c r="I163" s="51">
        <v>-3431.07</v>
      </c>
      <c r="J163" s="50">
        <v>-1.6374000000000002</v>
      </c>
      <c r="K163" s="51">
        <v>-3431.43</v>
      </c>
      <c r="L163" s="50">
        <v>-1.6335175</v>
      </c>
      <c r="M163" s="6"/>
      <c r="N163" s="52"/>
      <c r="O163" s="51">
        <v>-3431.29</v>
      </c>
      <c r="P163" s="50">
        <v>-1.63565</v>
      </c>
      <c r="Q163" s="6"/>
      <c r="R163" s="52"/>
      <c r="S163" s="6"/>
      <c r="T163" s="52"/>
      <c r="U163" s="51">
        <v>-3431.17</v>
      </c>
      <c r="V163" s="50">
        <v>-1.6370749999999998</v>
      </c>
      <c r="W163" s="6"/>
      <c r="X163" s="52"/>
      <c r="Y163" s="6"/>
      <c r="Z163" s="52"/>
      <c r="AA163" s="51">
        <v>-3431.8</v>
      </c>
      <c r="AB163" s="50">
        <v>-1.6246825</v>
      </c>
      <c r="AC163" s="6"/>
      <c r="AD163" s="52"/>
      <c r="AE163" s="6"/>
      <c r="AF163" s="52"/>
      <c r="AG163" s="51">
        <v>-3433.98</v>
      </c>
      <c r="AH163" s="50">
        <v>-1.63149</v>
      </c>
      <c r="AI163" s="6"/>
      <c r="AJ163" s="52"/>
    </row>
    <row x14ac:dyDescent="0.25" r="164" customHeight="1" ht="17.25">
      <c r="A164" s="11">
        <v>-3186.78</v>
      </c>
      <c r="B164" s="50">
        <v>-1.641935</v>
      </c>
      <c r="C164" s="51">
        <v>-3185.7</v>
      </c>
      <c r="D164" s="50">
        <v>-1.61708</v>
      </c>
      <c r="E164" s="51">
        <v>-3185.57</v>
      </c>
      <c r="F164" s="50">
        <v>-1.6217625</v>
      </c>
      <c r="G164" s="51">
        <v>-3186.28</v>
      </c>
      <c r="H164" s="50">
        <v>-1.6306675</v>
      </c>
      <c r="I164" s="51">
        <v>-3185.96</v>
      </c>
      <c r="J164" s="50">
        <v>-1.62582</v>
      </c>
      <c r="K164" s="51">
        <v>-3186.3</v>
      </c>
      <c r="L164" s="50">
        <v>-1.6219474999999999</v>
      </c>
      <c r="M164" s="6"/>
      <c r="N164" s="52"/>
      <c r="O164" s="51">
        <v>-3186.17</v>
      </c>
      <c r="P164" s="50">
        <v>-1.62415</v>
      </c>
      <c r="Q164" s="6"/>
      <c r="R164" s="52"/>
      <c r="S164" s="6"/>
      <c r="T164" s="52"/>
      <c r="U164" s="51">
        <v>-3185.99</v>
      </c>
      <c r="V164" s="50">
        <v>-1.6258050000000002</v>
      </c>
      <c r="W164" s="6"/>
      <c r="X164" s="52"/>
      <c r="Y164" s="6"/>
      <c r="Z164" s="52"/>
      <c r="AA164" s="51">
        <v>-3186.73</v>
      </c>
      <c r="AB164" s="50">
        <v>-1.6124525</v>
      </c>
      <c r="AC164" s="6"/>
      <c r="AD164" s="52"/>
      <c r="AE164" s="6"/>
      <c r="AF164" s="52"/>
      <c r="AG164" s="51">
        <v>-3188.63</v>
      </c>
      <c r="AH164" s="50">
        <v>-1.6197300000000001</v>
      </c>
      <c r="AI164" s="6"/>
      <c r="AJ164" s="52"/>
    </row>
    <row x14ac:dyDescent="0.25" r="165" customHeight="1" ht="17.25">
      <c r="A165" s="11">
        <v>-2941.6</v>
      </c>
      <c r="B165" s="50">
        <v>-1.630485</v>
      </c>
      <c r="C165" s="51">
        <v>-2940.62</v>
      </c>
      <c r="D165" s="50">
        <v>-1.60506</v>
      </c>
      <c r="E165" s="51">
        <v>-2940.57</v>
      </c>
      <c r="F165" s="50">
        <v>-1.6091725</v>
      </c>
      <c r="G165" s="51">
        <v>-2941.22</v>
      </c>
      <c r="H165" s="50">
        <v>-1.6190975</v>
      </c>
      <c r="I165" s="51">
        <v>-2940.89</v>
      </c>
      <c r="J165" s="50">
        <v>-1.61312</v>
      </c>
      <c r="K165" s="51">
        <v>-2941.2</v>
      </c>
      <c r="L165" s="50">
        <v>-1.6093475</v>
      </c>
      <c r="M165" s="6"/>
      <c r="N165" s="52"/>
      <c r="O165" s="51">
        <v>-2941.07</v>
      </c>
      <c r="P165" s="50">
        <v>-1.61167</v>
      </c>
      <c r="Q165" s="6"/>
      <c r="R165" s="52"/>
      <c r="S165" s="6"/>
      <c r="T165" s="52"/>
      <c r="U165" s="51">
        <v>-2941.02</v>
      </c>
      <c r="V165" s="50">
        <v>-1.613635</v>
      </c>
      <c r="W165" s="6"/>
      <c r="X165" s="52"/>
      <c r="Y165" s="6"/>
      <c r="Z165" s="52"/>
      <c r="AA165" s="51">
        <v>-2941.51</v>
      </c>
      <c r="AB165" s="50">
        <v>-1.5990725000000001</v>
      </c>
      <c r="AC165" s="6"/>
      <c r="AD165" s="52"/>
      <c r="AE165" s="6"/>
      <c r="AF165" s="52"/>
      <c r="AG165" s="51">
        <v>-2943.33</v>
      </c>
      <c r="AH165" s="50">
        <v>-1.60686</v>
      </c>
      <c r="AI165" s="6"/>
      <c r="AJ165" s="52"/>
    </row>
    <row x14ac:dyDescent="0.25" r="166" customHeight="1" ht="17.25">
      <c r="A166" s="11">
        <v>-2696.52</v>
      </c>
      <c r="B166" s="50">
        <v>-1.618155</v>
      </c>
      <c r="C166" s="51">
        <v>-2695.51</v>
      </c>
      <c r="D166" s="50">
        <v>-1.59181</v>
      </c>
      <c r="E166" s="51">
        <v>-2695.57</v>
      </c>
      <c r="F166" s="50">
        <v>-1.5952024999999999</v>
      </c>
      <c r="G166" s="51">
        <v>-2696.08</v>
      </c>
      <c r="H166" s="50">
        <v>-1.6064075</v>
      </c>
      <c r="I166" s="51">
        <v>-2695.76</v>
      </c>
      <c r="J166" s="50">
        <v>-1.5990900000000001</v>
      </c>
      <c r="K166" s="51">
        <v>-2696.1</v>
      </c>
      <c r="L166" s="50">
        <v>-1.5954475</v>
      </c>
      <c r="M166" s="6"/>
      <c r="N166" s="52"/>
      <c r="O166" s="51">
        <v>-2696</v>
      </c>
      <c r="P166" s="50">
        <v>-1.59788</v>
      </c>
      <c r="Q166" s="6"/>
      <c r="R166" s="52"/>
      <c r="S166" s="6"/>
      <c r="T166" s="52"/>
      <c r="U166" s="51">
        <v>-2695.93</v>
      </c>
      <c r="V166" s="50">
        <v>-1.600285</v>
      </c>
      <c r="W166" s="6"/>
      <c r="X166" s="52"/>
      <c r="Y166" s="6"/>
      <c r="Z166" s="52"/>
      <c r="AA166" s="51">
        <v>-2696.45</v>
      </c>
      <c r="AB166" s="50">
        <v>-1.5842025</v>
      </c>
      <c r="AC166" s="6"/>
      <c r="AD166" s="52"/>
      <c r="AE166" s="6"/>
      <c r="AF166" s="52"/>
      <c r="AG166" s="51">
        <v>-2698.04</v>
      </c>
      <c r="AH166" s="50">
        <v>-1.59267</v>
      </c>
      <c r="AI166" s="6"/>
      <c r="AJ166" s="52"/>
    </row>
    <row x14ac:dyDescent="0.25" r="167" customHeight="1" ht="17.25">
      <c r="A167" s="11">
        <v>-2451.47</v>
      </c>
      <c r="B167" s="50">
        <v>-1.604425</v>
      </c>
      <c r="C167" s="51">
        <v>-2450.42</v>
      </c>
      <c r="D167" s="50">
        <v>-1.5769</v>
      </c>
      <c r="E167" s="51">
        <v>-2450.47</v>
      </c>
      <c r="F167" s="50">
        <v>-1.5794124999999999</v>
      </c>
      <c r="G167" s="51">
        <v>-2450.96</v>
      </c>
      <c r="H167" s="50">
        <v>-1.5924075000000002</v>
      </c>
      <c r="I167" s="51">
        <v>-2450.68</v>
      </c>
      <c r="J167" s="50">
        <v>-1.58319</v>
      </c>
      <c r="K167" s="51">
        <v>-2451.03</v>
      </c>
      <c r="L167" s="50">
        <v>-1.5797475</v>
      </c>
      <c r="M167" s="6"/>
      <c r="N167" s="52"/>
      <c r="O167" s="51">
        <v>-2450.9</v>
      </c>
      <c r="P167" s="50">
        <v>-1.5823</v>
      </c>
      <c r="Q167" s="6"/>
      <c r="R167" s="52"/>
      <c r="S167" s="6"/>
      <c r="T167" s="52"/>
      <c r="U167" s="51">
        <v>-2450.87</v>
      </c>
      <c r="V167" s="50">
        <v>-1.5852650000000001</v>
      </c>
      <c r="W167" s="6"/>
      <c r="X167" s="52"/>
      <c r="Y167" s="6"/>
      <c r="Z167" s="52"/>
      <c r="AA167" s="51">
        <v>-2451.26</v>
      </c>
      <c r="AB167" s="50">
        <v>-1.5672825000000001</v>
      </c>
      <c r="AC167" s="6"/>
      <c r="AD167" s="52"/>
      <c r="AE167" s="6"/>
      <c r="AF167" s="52"/>
      <c r="AG167" s="51">
        <v>-2452.7</v>
      </c>
      <c r="AH167" s="50">
        <v>-1.5765500000000001</v>
      </c>
      <c r="AI167" s="6"/>
      <c r="AJ167" s="52"/>
    </row>
    <row x14ac:dyDescent="0.25" r="168" customHeight="1" ht="17.25">
      <c r="A168" s="11">
        <v>-2206.4</v>
      </c>
      <c r="B168" s="50">
        <v>-1.588935</v>
      </c>
      <c r="C168" s="51">
        <v>-2205.4</v>
      </c>
      <c r="D168" s="50">
        <v>-1.5599399999999999</v>
      </c>
      <c r="E168" s="51">
        <v>-2205.45</v>
      </c>
      <c r="F168" s="50">
        <v>-1.5611424999999999</v>
      </c>
      <c r="G168" s="51">
        <v>-2205.83</v>
      </c>
      <c r="H168" s="50">
        <v>-1.5763975000000001</v>
      </c>
      <c r="I168" s="51">
        <v>-2205.62</v>
      </c>
      <c r="J168" s="50">
        <v>-1.5649000000000002</v>
      </c>
      <c r="K168" s="51">
        <v>-2205.92</v>
      </c>
      <c r="L168" s="50">
        <v>-1.5617174999999999</v>
      </c>
      <c r="M168" s="6"/>
      <c r="N168" s="52"/>
      <c r="O168" s="51">
        <v>-2205.83</v>
      </c>
      <c r="P168" s="50">
        <v>-1.5645099999999998</v>
      </c>
      <c r="Q168" s="6"/>
      <c r="R168" s="52"/>
      <c r="S168" s="6"/>
      <c r="T168" s="52"/>
      <c r="U168" s="51">
        <v>-2205.82</v>
      </c>
      <c r="V168" s="50">
        <v>-1.5681150000000001</v>
      </c>
      <c r="W168" s="6"/>
      <c r="X168" s="52"/>
      <c r="Y168" s="6"/>
      <c r="Z168" s="52"/>
      <c r="AA168" s="51">
        <v>-2206.17</v>
      </c>
      <c r="AB168" s="50">
        <v>-1.5476525</v>
      </c>
      <c r="AC168" s="6"/>
      <c r="AD168" s="52"/>
      <c r="AE168" s="6"/>
      <c r="AF168" s="52"/>
      <c r="AG168" s="51">
        <v>-2207.5</v>
      </c>
      <c r="AH168" s="50">
        <v>-1.55805</v>
      </c>
      <c r="AI168" s="6"/>
      <c r="AJ168" s="52"/>
    </row>
    <row x14ac:dyDescent="0.25" r="169" customHeight="1" ht="17.25">
      <c r="A169" s="11">
        <v>-1961.25</v>
      </c>
      <c r="B169" s="50">
        <v>-1.571205</v>
      </c>
      <c r="C169" s="51">
        <v>-1960.38</v>
      </c>
      <c r="D169" s="50">
        <v>-1.54002</v>
      </c>
      <c r="E169" s="51">
        <v>-1960.41</v>
      </c>
      <c r="F169" s="50">
        <v>-1.5393625</v>
      </c>
      <c r="G169" s="51">
        <v>-1960.74</v>
      </c>
      <c r="H169" s="50">
        <v>-1.5579874999999999</v>
      </c>
      <c r="I169" s="51">
        <v>-1960.52</v>
      </c>
      <c r="J169" s="50">
        <v>-1.54326</v>
      </c>
      <c r="K169" s="51">
        <v>-1960.86</v>
      </c>
      <c r="L169" s="50">
        <v>-1.5404875</v>
      </c>
      <c r="M169" s="6"/>
      <c r="N169" s="52"/>
      <c r="O169" s="51">
        <v>-1960.73</v>
      </c>
      <c r="P169" s="50">
        <v>-1.5435699999999999</v>
      </c>
      <c r="Q169" s="6"/>
      <c r="R169" s="52"/>
      <c r="S169" s="6"/>
      <c r="T169" s="52"/>
      <c r="U169" s="51">
        <v>-1960.61</v>
      </c>
      <c r="V169" s="50">
        <v>-1.547945</v>
      </c>
      <c r="W169" s="6"/>
      <c r="X169" s="52"/>
      <c r="Y169" s="6"/>
      <c r="Z169" s="52"/>
      <c r="AA169" s="51">
        <v>-1961.06</v>
      </c>
      <c r="AB169" s="50">
        <v>-1.5242525</v>
      </c>
      <c r="AC169" s="6"/>
      <c r="AD169" s="52"/>
      <c r="AE169" s="6"/>
      <c r="AF169" s="52"/>
      <c r="AG169" s="51">
        <v>-1962.2</v>
      </c>
      <c r="AH169" s="50">
        <v>-1.53621</v>
      </c>
      <c r="AI169" s="6"/>
      <c r="AJ169" s="52"/>
    </row>
    <row x14ac:dyDescent="0.25" r="170" customHeight="1" ht="17.25">
      <c r="A170" s="11">
        <v>-1716.14</v>
      </c>
      <c r="B170" s="50">
        <v>-1.5500349999999998</v>
      </c>
      <c r="C170" s="51">
        <v>-1715.31</v>
      </c>
      <c r="D170" s="50">
        <v>-1.5158099999999999</v>
      </c>
      <c r="E170" s="51">
        <v>-1715.4</v>
      </c>
      <c r="F170" s="50">
        <v>-1.5126825</v>
      </c>
      <c r="G170" s="51">
        <v>-1715.72</v>
      </c>
      <c r="H170" s="50">
        <v>-1.5358675000000002</v>
      </c>
      <c r="I170" s="51">
        <v>-1715.48</v>
      </c>
      <c r="J170" s="50">
        <v>-1.5166700000000002</v>
      </c>
      <c r="K170" s="51">
        <v>-1715.79</v>
      </c>
      <c r="L170" s="50">
        <v>-1.5145675</v>
      </c>
      <c r="M170" s="6"/>
      <c r="N170" s="52"/>
      <c r="O170" s="51">
        <v>-1715.69</v>
      </c>
      <c r="P170" s="50">
        <v>-1.51806</v>
      </c>
      <c r="Q170" s="6"/>
      <c r="R170" s="52"/>
      <c r="S170" s="6"/>
      <c r="T170" s="52"/>
      <c r="U170" s="51">
        <v>-1715.54</v>
      </c>
      <c r="V170" s="50">
        <v>-1.523475</v>
      </c>
      <c r="W170" s="6"/>
      <c r="X170" s="52"/>
      <c r="Y170" s="6"/>
      <c r="Z170" s="52"/>
      <c r="AA170" s="51">
        <v>-1715.93</v>
      </c>
      <c r="AB170" s="50">
        <v>-1.4953425</v>
      </c>
      <c r="AC170" s="6"/>
      <c r="AD170" s="52"/>
      <c r="AE170" s="6"/>
      <c r="AF170" s="52"/>
      <c r="AG170" s="51">
        <v>-1716.98</v>
      </c>
      <c r="AH170" s="50">
        <v>-1.50959</v>
      </c>
      <c r="AI170" s="6"/>
      <c r="AJ170" s="52"/>
    </row>
    <row x14ac:dyDescent="0.25" r="171" customHeight="1" ht="17.25">
      <c r="A171" s="11">
        <v>-1470.97</v>
      </c>
      <c r="B171" s="50">
        <v>-1.5237749999999999</v>
      </c>
      <c r="C171" s="51">
        <v>-1470.19</v>
      </c>
      <c r="D171" s="50">
        <v>-1.4853</v>
      </c>
      <c r="E171" s="51">
        <v>-1470.33</v>
      </c>
      <c r="F171" s="50">
        <v>-1.4783625</v>
      </c>
      <c r="G171" s="51">
        <v>-1470.63</v>
      </c>
      <c r="H171" s="50">
        <v>-1.5082175000000002</v>
      </c>
      <c r="I171" s="51">
        <v>-1470.41</v>
      </c>
      <c r="J171" s="50">
        <v>-1.4826700000000002</v>
      </c>
      <c r="K171" s="51">
        <v>-1470.65</v>
      </c>
      <c r="L171" s="50">
        <v>-1.4815975</v>
      </c>
      <c r="M171" s="6"/>
      <c r="N171" s="52"/>
      <c r="O171" s="51">
        <v>-1470.57</v>
      </c>
      <c r="P171" s="50">
        <v>-1.4857099999999999</v>
      </c>
      <c r="Q171" s="6"/>
      <c r="R171" s="52"/>
      <c r="S171" s="6"/>
      <c r="T171" s="52"/>
      <c r="U171" s="51">
        <v>-1470.42</v>
      </c>
      <c r="V171" s="50">
        <v>-1.492375</v>
      </c>
      <c r="W171" s="6"/>
      <c r="X171" s="52"/>
      <c r="Y171" s="6"/>
      <c r="Z171" s="52"/>
      <c r="AA171" s="51">
        <v>-1470.79</v>
      </c>
      <c r="AB171" s="50">
        <v>-1.4583325</v>
      </c>
      <c r="AC171" s="6"/>
      <c r="AD171" s="52"/>
      <c r="AE171" s="6"/>
      <c r="AF171" s="52"/>
      <c r="AG171" s="51">
        <v>-1471.64</v>
      </c>
      <c r="AH171" s="50">
        <v>-1.47529</v>
      </c>
      <c r="AI171" s="6"/>
      <c r="AJ171" s="52"/>
    </row>
    <row x14ac:dyDescent="0.25" r="172" customHeight="1" ht="17.25">
      <c r="A172" s="11">
        <v>-1225.81</v>
      </c>
      <c r="B172" s="50">
        <v>-1.489125</v>
      </c>
      <c r="C172" s="51">
        <v>-1225.16</v>
      </c>
      <c r="D172" s="50">
        <v>-1.44457</v>
      </c>
      <c r="E172" s="51">
        <v>-1225.3</v>
      </c>
      <c r="F172" s="50">
        <v>-1.4324225</v>
      </c>
      <c r="G172" s="51">
        <v>-1225.55</v>
      </c>
      <c r="H172" s="50">
        <v>-1.4717475000000002</v>
      </c>
      <c r="I172" s="51">
        <v>-1225.36</v>
      </c>
      <c r="J172" s="50">
        <v>-1.43724</v>
      </c>
      <c r="K172" s="51">
        <v>-1225.54</v>
      </c>
      <c r="L172" s="50">
        <v>-1.4377375</v>
      </c>
      <c r="M172" s="6"/>
      <c r="N172" s="52"/>
      <c r="O172" s="51">
        <v>-1225.52</v>
      </c>
      <c r="P172" s="50">
        <v>-1.4427299999999998</v>
      </c>
      <c r="Q172" s="6"/>
      <c r="R172" s="52"/>
      <c r="S172" s="6"/>
      <c r="T172" s="52"/>
      <c r="U172" s="51">
        <v>-1225.37</v>
      </c>
      <c r="V172" s="50">
        <v>-1.450835</v>
      </c>
      <c r="W172" s="6"/>
      <c r="X172" s="52"/>
      <c r="Y172" s="6"/>
      <c r="Z172" s="52"/>
      <c r="AA172" s="51">
        <v>-1225.69</v>
      </c>
      <c r="AB172" s="50">
        <v>-1.4088125</v>
      </c>
      <c r="AC172" s="6"/>
      <c r="AD172" s="52"/>
      <c r="AE172" s="6"/>
      <c r="AF172" s="52"/>
      <c r="AG172" s="51">
        <v>-1226.38</v>
      </c>
      <c r="AH172" s="50">
        <v>-1.4292</v>
      </c>
      <c r="AI172" s="6"/>
      <c r="AJ172" s="52"/>
    </row>
    <row x14ac:dyDescent="0.25" r="173" customHeight="1" ht="17.25">
      <c r="A173" s="11">
        <v>-980.664</v>
      </c>
      <c r="B173" s="50">
        <v>-1.439925</v>
      </c>
      <c r="C173" s="51">
        <v>-980.096</v>
      </c>
      <c r="D173" s="50">
        <v>-1.38713</v>
      </c>
      <c r="E173" s="51">
        <v>-980.311</v>
      </c>
      <c r="F173" s="50">
        <v>-1.3680925</v>
      </c>
      <c r="G173" s="51">
        <v>-980.445</v>
      </c>
      <c r="H173" s="50">
        <v>-1.4200475</v>
      </c>
      <c r="I173" s="51">
        <v>-980.313</v>
      </c>
      <c r="J173" s="50">
        <v>-1.3737400000000002</v>
      </c>
      <c r="K173" s="51">
        <v>-980.457</v>
      </c>
      <c r="L173" s="50">
        <v>-1.3760775</v>
      </c>
      <c r="M173" s="6"/>
      <c r="N173" s="52"/>
      <c r="O173" s="51">
        <v>-980.47</v>
      </c>
      <c r="P173" s="50">
        <v>-1.3824699999999999</v>
      </c>
      <c r="Q173" s="6"/>
      <c r="R173" s="52"/>
      <c r="S173" s="6"/>
      <c r="T173" s="52"/>
      <c r="U173" s="51">
        <v>-980.34</v>
      </c>
      <c r="V173" s="50">
        <v>-1.392035</v>
      </c>
      <c r="W173" s="6"/>
      <c r="X173" s="52"/>
      <c r="Y173" s="6"/>
      <c r="Z173" s="52"/>
      <c r="AA173" s="51">
        <v>-980.577</v>
      </c>
      <c r="AB173" s="50">
        <v>-1.3398325</v>
      </c>
      <c r="AC173" s="6"/>
      <c r="AD173" s="52"/>
      <c r="AE173" s="6"/>
      <c r="AF173" s="52"/>
      <c r="AG173" s="51">
        <v>-981.129</v>
      </c>
      <c r="AH173" s="50">
        <v>-1.36419</v>
      </c>
      <c r="AI173" s="6"/>
      <c r="AJ173" s="52"/>
    </row>
    <row x14ac:dyDescent="0.25" r="174" customHeight="1" ht="17.25">
      <c r="A174" s="11">
        <v>-735.521</v>
      </c>
      <c r="B174" s="50">
        <v>-1.3640949999999998</v>
      </c>
      <c r="C174" s="51">
        <v>-735.017</v>
      </c>
      <c r="D174" s="50">
        <v>-1.3017699999999999</v>
      </c>
      <c r="E174" s="51">
        <v>-735.258</v>
      </c>
      <c r="F174" s="50">
        <v>-1.2752325</v>
      </c>
      <c r="G174" s="51">
        <v>-735.328</v>
      </c>
      <c r="H174" s="50">
        <v>-1.3414774999999999</v>
      </c>
      <c r="I174" s="51">
        <v>-735.201</v>
      </c>
      <c r="J174" s="50">
        <v>-1.2821500000000001</v>
      </c>
      <c r="K174" s="51">
        <v>-735.316</v>
      </c>
      <c r="L174" s="50">
        <v>-1.2855575</v>
      </c>
      <c r="M174" s="6"/>
      <c r="N174" s="52"/>
      <c r="O174" s="51">
        <v>-735.352</v>
      </c>
      <c r="P174" s="50">
        <v>-1.29364</v>
      </c>
      <c r="Q174" s="6"/>
      <c r="R174" s="52"/>
      <c r="S174" s="6"/>
      <c r="T174" s="52"/>
      <c r="U174" s="51">
        <v>-735.207</v>
      </c>
      <c r="V174" s="50">
        <v>-1.3043049999999998</v>
      </c>
      <c r="W174" s="6"/>
      <c r="X174" s="52"/>
      <c r="Y174" s="6"/>
      <c r="Z174" s="52"/>
      <c r="AA174" s="51">
        <v>-735.425</v>
      </c>
      <c r="AB174" s="50">
        <v>-1.2412025</v>
      </c>
      <c r="AC174" s="6"/>
      <c r="AD174" s="52"/>
      <c r="AE174" s="6"/>
      <c r="AF174" s="52"/>
      <c r="AG174" s="51">
        <v>-735.801</v>
      </c>
      <c r="AH174" s="50">
        <v>-1.26903</v>
      </c>
      <c r="AI174" s="6"/>
      <c r="AJ174" s="52"/>
    </row>
    <row x14ac:dyDescent="0.25" r="175" customHeight="1" ht="17.25">
      <c r="A175" s="11">
        <v>-490.219</v>
      </c>
      <c r="B175" s="50">
        <v>-1.240265</v>
      </c>
      <c r="C175" s="51">
        <v>-489.951</v>
      </c>
      <c r="D175" s="50">
        <v>-1.17221</v>
      </c>
      <c r="E175" s="51">
        <v>-490.234</v>
      </c>
      <c r="F175" s="50">
        <v>-1.1403225</v>
      </c>
      <c r="G175" s="51">
        <v>-490.269</v>
      </c>
      <c r="H175" s="50">
        <v>-1.2167575</v>
      </c>
      <c r="I175" s="51">
        <v>-490.124</v>
      </c>
      <c r="J175" s="50">
        <v>-1.1488500000000001</v>
      </c>
      <c r="K175" s="51">
        <v>-490.232</v>
      </c>
      <c r="L175" s="50">
        <v>-1.1512974999999999</v>
      </c>
      <c r="M175" s="6"/>
      <c r="N175" s="52"/>
      <c r="O175" s="51">
        <v>-490.292</v>
      </c>
      <c r="P175" s="50">
        <v>-1.15933</v>
      </c>
      <c r="Q175" s="6"/>
      <c r="R175" s="52"/>
      <c r="S175" s="6"/>
      <c r="T175" s="52"/>
      <c r="U175" s="51">
        <v>-490.145</v>
      </c>
      <c r="V175" s="50">
        <v>-1.1694650000000002</v>
      </c>
      <c r="W175" s="6"/>
      <c r="X175" s="52"/>
      <c r="Y175" s="6"/>
      <c r="Z175" s="52"/>
      <c r="AA175" s="51">
        <v>-490.304</v>
      </c>
      <c r="AB175" s="50">
        <v>-1.1000825</v>
      </c>
      <c r="AC175" s="6"/>
      <c r="AD175" s="52"/>
      <c r="AE175" s="6"/>
      <c r="AF175" s="52"/>
      <c r="AG175" s="51">
        <v>-490.562</v>
      </c>
      <c r="AH175" s="50">
        <v>-1.12912</v>
      </c>
      <c r="AI175" s="6"/>
      <c r="AJ175" s="52"/>
    </row>
    <row x14ac:dyDescent="0.25" r="176" customHeight="1" ht="17.25">
      <c r="A176" s="11">
        <v>-245.109</v>
      </c>
      <c r="B176" s="50">
        <v>-1.042675</v>
      </c>
      <c r="C176" s="51">
        <v>-244.893</v>
      </c>
      <c r="D176" s="50">
        <v>-0.980897</v>
      </c>
      <c r="E176" s="51">
        <v>-245.228</v>
      </c>
      <c r="F176" s="50">
        <v>-0.9485355</v>
      </c>
      <c r="G176" s="51">
        <v>-245.203</v>
      </c>
      <c r="H176" s="50">
        <v>-1.0224275</v>
      </c>
      <c r="I176" s="51">
        <v>-245.073</v>
      </c>
      <c r="J176" s="50">
        <v>-0.9585160000000001</v>
      </c>
      <c r="K176" s="51">
        <v>-245.163</v>
      </c>
      <c r="L176" s="50">
        <v>-0.9582505</v>
      </c>
      <c r="M176" s="6"/>
      <c r="N176" s="52"/>
      <c r="O176" s="51">
        <v>-245.213</v>
      </c>
      <c r="P176" s="50">
        <v>-0.9597359999999999</v>
      </c>
      <c r="Q176" s="6"/>
      <c r="R176" s="52"/>
      <c r="S176" s="6"/>
      <c r="T176" s="52"/>
      <c r="U176" s="51">
        <v>-245.074</v>
      </c>
      <c r="V176" s="50">
        <v>-0.966318</v>
      </c>
      <c r="W176" s="6"/>
      <c r="X176" s="52"/>
      <c r="Y176" s="6"/>
      <c r="Z176" s="52"/>
      <c r="AA176" s="51">
        <v>-245.195</v>
      </c>
      <c r="AB176" s="50">
        <v>-0.9040765000000001</v>
      </c>
      <c r="AC176" s="6"/>
      <c r="AD176" s="52"/>
      <c r="AE176" s="6"/>
      <c r="AF176" s="52"/>
      <c r="AG176" s="51">
        <v>-245.268</v>
      </c>
      <c r="AH176" s="50">
        <v>-0.929728</v>
      </c>
      <c r="AI176" s="6"/>
      <c r="AJ176" s="52"/>
    </row>
    <row x14ac:dyDescent="0.25" r="177" customHeight="1" ht="17.25">
      <c r="A177" s="11">
        <v>-122.551</v>
      </c>
      <c r="B177" s="50">
        <v>-0.9085329999999999</v>
      </c>
      <c r="C177" s="51">
        <v>-122.372</v>
      </c>
      <c r="D177" s="50">
        <v>-0.8559599999999999</v>
      </c>
      <c r="E177" s="51">
        <v>-122.717</v>
      </c>
      <c r="F177" s="50">
        <v>-0.8248405</v>
      </c>
      <c r="G177" s="51">
        <v>-122.673</v>
      </c>
      <c r="H177" s="50">
        <v>-0.8920435</v>
      </c>
      <c r="I177" s="51">
        <v>-122.539</v>
      </c>
      <c r="J177" s="50">
        <v>-0.8348200000000001</v>
      </c>
      <c r="K177" s="51">
        <v>-122.613</v>
      </c>
      <c r="L177" s="50">
        <v>-0.8340215</v>
      </c>
      <c r="M177" s="6"/>
      <c r="N177" s="52"/>
      <c r="O177" s="51">
        <v>-122.688</v>
      </c>
      <c r="P177" s="50">
        <v>-0.8277059999999999</v>
      </c>
      <c r="Q177" s="6"/>
      <c r="R177" s="52"/>
      <c r="S177" s="6"/>
      <c r="T177" s="52"/>
      <c r="U177" s="51">
        <v>-122.542</v>
      </c>
      <c r="V177" s="50">
        <v>-0.83083</v>
      </c>
      <c r="W177" s="6"/>
      <c r="X177" s="52"/>
      <c r="Y177" s="6"/>
      <c r="Z177" s="52"/>
      <c r="AA177" s="51">
        <v>-122.63</v>
      </c>
      <c r="AB177" s="50">
        <v>-0.7795375</v>
      </c>
      <c r="AC177" s="6"/>
      <c r="AD177" s="52"/>
      <c r="AE177" s="6"/>
      <c r="AF177" s="52"/>
      <c r="AG177" s="51">
        <v>-122.643</v>
      </c>
      <c r="AH177" s="50">
        <v>-0.801023</v>
      </c>
      <c r="AI177" s="6"/>
      <c r="AJ177" s="52"/>
    </row>
    <row x14ac:dyDescent="0.25" r="178" customHeight="1" ht="17.25">
      <c r="A178" s="11">
        <v>-61.2438</v>
      </c>
      <c r="B178" s="50">
        <v>-0.8299819999999999</v>
      </c>
      <c r="C178" s="51">
        <v>-61.0839</v>
      </c>
      <c r="D178" s="50">
        <v>-0.7835869999999999</v>
      </c>
      <c r="E178" s="51">
        <v>-61.4468</v>
      </c>
      <c r="F178" s="50">
        <v>-0.7529534999999999</v>
      </c>
      <c r="G178" s="51">
        <v>-61.3821</v>
      </c>
      <c r="H178" s="50">
        <v>-0.8159575</v>
      </c>
      <c r="I178" s="51">
        <v>-61.2487</v>
      </c>
      <c r="J178" s="50">
        <v>-0.7627390000000001</v>
      </c>
      <c r="K178" s="51">
        <v>-61.3054</v>
      </c>
      <c r="L178" s="50">
        <v>-0.7622595</v>
      </c>
      <c r="M178" s="6"/>
      <c r="N178" s="52"/>
      <c r="O178" s="51">
        <v>-61.3893</v>
      </c>
      <c r="P178" s="50">
        <v>-0.750054</v>
      </c>
      <c r="Q178" s="6"/>
      <c r="R178" s="52"/>
      <c r="S178" s="6"/>
      <c r="T178" s="52"/>
      <c r="U178" s="51">
        <v>-61.2485</v>
      </c>
      <c r="V178" s="50">
        <v>-0.750699</v>
      </c>
      <c r="W178" s="6"/>
      <c r="X178" s="52"/>
      <c r="Y178" s="6"/>
      <c r="Z178" s="52"/>
      <c r="AA178" s="51">
        <v>-61.3205</v>
      </c>
      <c r="AB178" s="50">
        <v>-0.7073505</v>
      </c>
      <c r="AC178" s="6"/>
      <c r="AD178" s="52"/>
      <c r="AE178" s="6"/>
      <c r="AF178" s="52"/>
      <c r="AG178" s="51">
        <v>-61.3005</v>
      </c>
      <c r="AH178" s="50">
        <v>-0.7260300000000001</v>
      </c>
      <c r="AI178" s="6"/>
      <c r="AJ178" s="52"/>
    </row>
    <row x14ac:dyDescent="0.25" r="179" customHeight="1" ht="17.25">
      <c r="A179" s="11">
        <v>-30.614</v>
      </c>
      <c r="B179" s="50">
        <v>-0.7871149999999999</v>
      </c>
      <c r="C179" s="51">
        <v>-30.4675</v>
      </c>
      <c r="D179" s="50">
        <v>-0.7441709999999999</v>
      </c>
      <c r="E179" s="51">
        <v>-30.8058</v>
      </c>
      <c r="F179" s="50">
        <v>-0.7136195</v>
      </c>
      <c r="G179" s="51">
        <v>-30.7532</v>
      </c>
      <c r="H179" s="50">
        <v>-0.7744635</v>
      </c>
      <c r="I179" s="51">
        <v>-30.6156</v>
      </c>
      <c r="J179" s="50">
        <v>-0.7232190000000001</v>
      </c>
      <c r="K179" s="51">
        <v>-30.6742</v>
      </c>
      <c r="L179" s="50">
        <v>-0.7232065</v>
      </c>
      <c r="M179" s="6"/>
      <c r="N179" s="52"/>
      <c r="O179" s="51">
        <v>-30.7601</v>
      </c>
      <c r="P179" s="50">
        <v>-0.7071649999999999</v>
      </c>
      <c r="Q179" s="6"/>
      <c r="R179" s="52"/>
      <c r="S179" s="6"/>
      <c r="T179" s="52"/>
      <c r="U179" s="51">
        <v>-30.6121</v>
      </c>
      <c r="V179" s="50">
        <v>-0.7062689999999999</v>
      </c>
      <c r="W179" s="6"/>
      <c r="X179" s="52"/>
      <c r="Y179" s="6"/>
      <c r="Z179" s="52"/>
      <c r="AA179" s="51">
        <v>-30.6955</v>
      </c>
      <c r="AB179" s="50">
        <v>-0.6677265</v>
      </c>
      <c r="AC179" s="6"/>
      <c r="AD179" s="52"/>
      <c r="AE179" s="6"/>
      <c r="AF179" s="52"/>
      <c r="AG179" s="51">
        <v>-30.6527</v>
      </c>
      <c r="AH179" s="50">
        <v>-0.684664</v>
      </c>
      <c r="AI179" s="6"/>
      <c r="AJ179" s="52"/>
    </row>
    <row x14ac:dyDescent="0.25" r="180" customHeight="1" ht="17.25">
      <c r="A180" s="11">
        <v>-14.9615</v>
      </c>
      <c r="B180" s="50">
        <v>-0.7642349999999999</v>
      </c>
      <c r="C180" s="51">
        <v>-14.8485</v>
      </c>
      <c r="D180" s="50">
        <v>-0.723174</v>
      </c>
      <c r="E180" s="51">
        <v>-15.1872</v>
      </c>
      <c r="F180" s="50">
        <v>-0.6926325</v>
      </c>
      <c r="G180" s="51">
        <v>-15.0798</v>
      </c>
      <c r="H180" s="50">
        <v>-0.7522785000000001</v>
      </c>
      <c r="I180" s="51">
        <v>-14.988</v>
      </c>
      <c r="J180" s="50">
        <v>-0.7020430000000001</v>
      </c>
      <c r="K180" s="51">
        <v>-15.0333</v>
      </c>
      <c r="L180" s="50">
        <v>-0.7022284999999999</v>
      </c>
      <c r="M180" s="6"/>
      <c r="N180" s="52"/>
      <c r="O180" s="51">
        <v>-15.1229</v>
      </c>
      <c r="P180" s="50">
        <v>-0.6840809999999999</v>
      </c>
      <c r="Q180" s="6"/>
      <c r="R180" s="52"/>
      <c r="S180" s="6"/>
      <c r="T180" s="52"/>
      <c r="U180" s="51">
        <v>-14.9745</v>
      </c>
      <c r="V180" s="50">
        <v>-0.6822659999999999</v>
      </c>
      <c r="W180" s="6"/>
      <c r="X180" s="52"/>
      <c r="Y180" s="6"/>
      <c r="Z180" s="52"/>
      <c r="AA180" s="51">
        <v>-15.0627</v>
      </c>
      <c r="AB180" s="50">
        <v>-0.6465045</v>
      </c>
      <c r="AC180" s="6"/>
      <c r="AD180" s="52"/>
      <c r="AE180" s="6"/>
      <c r="AF180" s="52"/>
      <c r="AG180" s="51">
        <v>-15.0064</v>
      </c>
      <c r="AH180" s="50">
        <v>-0.662498</v>
      </c>
      <c r="AI180" s="6"/>
      <c r="AJ180" s="52"/>
    </row>
    <row x14ac:dyDescent="0.25" r="181" customHeight="1" ht="17.25">
      <c r="A181" s="11">
        <v>-7.3021</v>
      </c>
      <c r="B181" s="50">
        <v>-0.752902</v>
      </c>
      <c r="C181" s="51">
        <v>-7.1816</v>
      </c>
      <c r="D181" s="50">
        <v>-0.712803</v>
      </c>
      <c r="E181" s="51">
        <v>-7.5341</v>
      </c>
      <c r="F181" s="50">
        <v>-0.6822855</v>
      </c>
      <c r="G181" s="51">
        <v>-7.4352</v>
      </c>
      <c r="H181" s="50">
        <v>-0.7413125</v>
      </c>
      <c r="I181" s="51">
        <v>-7.34891</v>
      </c>
      <c r="J181" s="50">
        <v>-0.6915310000000001</v>
      </c>
      <c r="K181" s="51">
        <v>-7.39487</v>
      </c>
      <c r="L181" s="50">
        <v>-0.6919815</v>
      </c>
      <c r="M181" s="6"/>
      <c r="N181" s="52"/>
      <c r="O181" s="51">
        <v>-7.4635</v>
      </c>
      <c r="P181" s="50">
        <v>-0.6726399999999999</v>
      </c>
      <c r="Q181" s="6"/>
      <c r="R181" s="52"/>
      <c r="S181" s="6"/>
      <c r="T181" s="52"/>
      <c r="U181" s="51">
        <v>-7.31782</v>
      </c>
      <c r="V181" s="50">
        <v>-0.670192</v>
      </c>
      <c r="W181" s="6"/>
      <c r="X181" s="52"/>
      <c r="Y181" s="6"/>
      <c r="Z181" s="52"/>
      <c r="AA181" s="51">
        <v>-7.40985</v>
      </c>
      <c r="AB181" s="50">
        <v>-0.6358935</v>
      </c>
      <c r="AC181" s="6"/>
      <c r="AD181" s="52"/>
      <c r="AE181" s="6"/>
      <c r="AF181" s="52"/>
      <c r="AG181" s="51">
        <v>-7.33985</v>
      </c>
      <c r="AH181" s="50">
        <v>-0.651475</v>
      </c>
      <c r="AI181" s="6"/>
      <c r="AJ181" s="52"/>
    </row>
    <row x14ac:dyDescent="0.25" r="182" customHeight="1" ht="17.25">
      <c r="A182" s="11">
        <v>-3.6142</v>
      </c>
      <c r="B182" s="50">
        <v>-0.7475559999999999</v>
      </c>
      <c r="C182" s="51">
        <v>-3.49555</v>
      </c>
      <c r="D182" s="50">
        <v>-0.7078709999999999</v>
      </c>
      <c r="E182" s="51">
        <v>-3.83929</v>
      </c>
      <c r="F182" s="50">
        <v>-0.6774195</v>
      </c>
      <c r="G182" s="51">
        <v>-3.75302</v>
      </c>
      <c r="H182" s="50">
        <v>-0.7361965</v>
      </c>
      <c r="I182" s="51">
        <v>-3.65167</v>
      </c>
      <c r="J182" s="50">
        <v>-0.6865870000000001</v>
      </c>
      <c r="K182" s="51">
        <v>-3.70385</v>
      </c>
      <c r="L182" s="50">
        <v>-0.6872064999999999</v>
      </c>
      <c r="M182" s="6"/>
      <c r="N182" s="52"/>
      <c r="O182" s="51">
        <v>-3.75688</v>
      </c>
      <c r="P182" s="50">
        <v>-0.6671969999999999</v>
      </c>
      <c r="Q182" s="6"/>
      <c r="R182" s="52"/>
      <c r="S182" s="6"/>
      <c r="T182" s="52"/>
      <c r="U182" s="51">
        <v>-3.63489</v>
      </c>
      <c r="V182" s="50">
        <v>-0.664496</v>
      </c>
      <c r="W182" s="6"/>
      <c r="X182" s="52"/>
      <c r="Y182" s="6"/>
      <c r="Z182" s="52"/>
      <c r="AA182" s="51">
        <v>-3.71616</v>
      </c>
      <c r="AB182" s="50">
        <v>-0.6309045000000001</v>
      </c>
      <c r="AC182" s="6"/>
      <c r="AD182" s="52"/>
      <c r="AE182" s="6"/>
      <c r="AF182" s="52"/>
      <c r="AG182" s="51">
        <v>-3.65755</v>
      </c>
      <c r="AH182" s="50">
        <v>-0.64624</v>
      </c>
      <c r="AI182" s="6"/>
      <c r="AJ182" s="52"/>
    </row>
    <row x14ac:dyDescent="0.25" r="183" customHeight="1" ht="17.25">
      <c r="A183" s="11">
        <v>0.104367</v>
      </c>
      <c r="B183" s="50">
        <v>-0.7421099999999999</v>
      </c>
      <c r="C183" s="51">
        <v>0.19113</v>
      </c>
      <c r="D183" s="50">
        <v>-0.702897</v>
      </c>
      <c r="E183" s="51">
        <v>-0.143259</v>
      </c>
      <c r="F183" s="50">
        <v>-0.6724264999999999</v>
      </c>
      <c r="G183" s="51">
        <v>-0.0479772</v>
      </c>
      <c r="H183" s="50">
        <v>-0.7309355000000001</v>
      </c>
      <c r="I183" s="51">
        <v>0.0604372</v>
      </c>
      <c r="J183" s="50">
        <v>-0.6815380000000001</v>
      </c>
      <c r="K183" s="51">
        <v>0.00370246</v>
      </c>
      <c r="L183" s="50">
        <v>-0.6821935</v>
      </c>
      <c r="M183" s="6"/>
      <c r="N183" s="52"/>
      <c r="O183" s="51">
        <v>-0.058755</v>
      </c>
      <c r="P183" s="50">
        <v>-0.6616679999999999</v>
      </c>
      <c r="Q183" s="6"/>
      <c r="R183" s="52"/>
      <c r="S183" s="6"/>
      <c r="T183" s="52"/>
      <c r="U183" s="51">
        <v>0.0844436</v>
      </c>
      <c r="V183" s="50">
        <v>-0.658704</v>
      </c>
      <c r="W183" s="6"/>
      <c r="X183" s="52"/>
      <c r="Y183" s="6"/>
      <c r="Z183" s="52"/>
      <c r="AA183" s="51">
        <v>-0.0216608</v>
      </c>
      <c r="AB183" s="50">
        <v>-0.6257985</v>
      </c>
      <c r="AC183" s="6"/>
      <c r="AD183" s="52"/>
      <c r="AE183" s="6"/>
      <c r="AF183" s="52"/>
      <c r="AG183" s="51">
        <v>0.0623838</v>
      </c>
      <c r="AH183" s="50">
        <v>-0.640862</v>
      </c>
      <c r="AI183" s="6"/>
      <c r="AJ183" s="52"/>
    </row>
    <row x14ac:dyDescent="0.25" r="184" customHeight="1" ht="17.25">
      <c r="A184" s="11">
        <v>3.64509</v>
      </c>
      <c r="B184" s="50">
        <v>-0.7367539999999999</v>
      </c>
      <c r="C184" s="51">
        <v>3.74982</v>
      </c>
      <c r="D184" s="50">
        <v>-0.698062</v>
      </c>
      <c r="E184" s="51">
        <v>3.4219</v>
      </c>
      <c r="F184" s="50">
        <v>-0.6676654999999999</v>
      </c>
      <c r="G184" s="51">
        <v>3.4894</v>
      </c>
      <c r="H184" s="50">
        <v>-0.7255715</v>
      </c>
      <c r="I184" s="51">
        <v>3.59866</v>
      </c>
      <c r="J184" s="50">
        <v>-0.6766830000000001</v>
      </c>
      <c r="K184" s="51">
        <v>3.57579</v>
      </c>
      <c r="L184" s="50">
        <v>-0.6774215</v>
      </c>
      <c r="M184" s="6"/>
      <c r="N184" s="52"/>
      <c r="O184" s="51">
        <v>3.47396</v>
      </c>
      <c r="P184" s="50">
        <v>-0.6562389999999999</v>
      </c>
      <c r="Q184" s="6"/>
      <c r="R184" s="52"/>
      <c r="S184" s="6"/>
      <c r="T184" s="52"/>
      <c r="U184" s="51">
        <v>3.61557</v>
      </c>
      <c r="V184" s="50">
        <v>-0.653129</v>
      </c>
      <c r="W184" s="6"/>
      <c r="X184" s="52"/>
      <c r="Y184" s="6"/>
      <c r="Z184" s="52"/>
      <c r="AA184" s="51">
        <v>3.53405</v>
      </c>
      <c r="AB184" s="50">
        <v>-0.6205175</v>
      </c>
      <c r="AC184" s="6"/>
      <c r="AD184" s="52"/>
      <c r="AE184" s="6"/>
      <c r="AF184" s="52"/>
      <c r="AG184" s="51">
        <v>3.59874</v>
      </c>
      <c r="AH184" s="50">
        <v>-0.635768</v>
      </c>
      <c r="AI184" s="6"/>
      <c r="AJ184" s="52"/>
    </row>
    <row x14ac:dyDescent="0.25" r="185" customHeight="1" ht="17.25">
      <c r="A185" s="11">
        <v>7.34747</v>
      </c>
      <c r="B185" s="50">
        <v>-0.7311159999999999</v>
      </c>
      <c r="C185" s="51">
        <v>7.46105</v>
      </c>
      <c r="D185" s="50">
        <v>-0.692805</v>
      </c>
      <c r="E185" s="51">
        <v>7.12741</v>
      </c>
      <c r="F185" s="50">
        <v>-0.6624325</v>
      </c>
      <c r="G185" s="51">
        <v>7.1932</v>
      </c>
      <c r="H185" s="50">
        <v>-0.7202495</v>
      </c>
      <c r="I185" s="51">
        <v>7.29253</v>
      </c>
      <c r="J185" s="50">
        <v>-0.6714230000000001</v>
      </c>
      <c r="K185" s="51">
        <v>7.2685</v>
      </c>
      <c r="L185" s="50">
        <v>-0.6723585</v>
      </c>
      <c r="M185" s="6"/>
      <c r="N185" s="52"/>
      <c r="O185" s="51">
        <v>7.20314</v>
      </c>
      <c r="P185" s="50">
        <v>-0.6502889999999999</v>
      </c>
      <c r="Q185" s="6"/>
      <c r="R185" s="52"/>
      <c r="S185" s="6"/>
      <c r="T185" s="52"/>
      <c r="U185" s="51">
        <v>7.32118</v>
      </c>
      <c r="V185" s="50">
        <v>-0.647064</v>
      </c>
      <c r="W185" s="6"/>
      <c r="X185" s="52"/>
      <c r="Y185" s="6"/>
      <c r="Z185" s="52"/>
      <c r="AA185" s="51">
        <v>7.23848</v>
      </c>
      <c r="AB185" s="50">
        <v>-0.6151785000000001</v>
      </c>
      <c r="AC185" s="6"/>
      <c r="AD185" s="52"/>
      <c r="AE185" s="6"/>
      <c r="AF185" s="52"/>
      <c r="AG185" s="51">
        <v>7.30968</v>
      </c>
      <c r="AH185" s="50">
        <v>-0.629885</v>
      </c>
      <c r="AI185" s="6"/>
      <c r="AJ185" s="52"/>
    </row>
    <row x14ac:dyDescent="0.25" r="186" customHeight="1" ht="17.25">
      <c r="A186" s="11">
        <v>14.8384</v>
      </c>
      <c r="B186" s="50">
        <v>-0.7188889999999999</v>
      </c>
      <c r="C186" s="51">
        <v>15.0886</v>
      </c>
      <c r="D186" s="50">
        <v>-0.681526</v>
      </c>
      <c r="E186" s="51">
        <v>14.7771</v>
      </c>
      <c r="F186" s="50">
        <v>-0.6511315</v>
      </c>
      <c r="G186" s="51">
        <v>14.8493</v>
      </c>
      <c r="H186" s="50">
        <v>-0.7084375</v>
      </c>
      <c r="I186" s="51">
        <v>14.9387</v>
      </c>
      <c r="J186" s="50">
        <v>-0.6599220000000001</v>
      </c>
      <c r="K186" s="51">
        <v>14.8995</v>
      </c>
      <c r="L186" s="50">
        <v>-0.6613955</v>
      </c>
      <c r="M186" s="6"/>
      <c r="N186" s="52"/>
      <c r="O186" s="51">
        <v>14.8209</v>
      </c>
      <c r="P186" s="50">
        <v>-0.6377029999999999</v>
      </c>
      <c r="Q186" s="6"/>
      <c r="R186" s="52"/>
      <c r="S186" s="6"/>
      <c r="T186" s="52"/>
      <c r="U186" s="51">
        <v>14.9727</v>
      </c>
      <c r="V186" s="50">
        <v>-0.633832</v>
      </c>
      <c r="W186" s="6"/>
      <c r="X186" s="52"/>
      <c r="Y186" s="6"/>
      <c r="Z186" s="52"/>
      <c r="AA186" s="51">
        <v>14.9003</v>
      </c>
      <c r="AB186" s="50">
        <v>-0.6036085000000001</v>
      </c>
      <c r="AC186" s="6"/>
      <c r="AD186" s="52"/>
      <c r="AE186" s="6"/>
      <c r="AF186" s="52"/>
      <c r="AG186" s="51">
        <v>14.9558</v>
      </c>
      <c r="AH186" s="50">
        <v>-0.617708</v>
      </c>
      <c r="AI186" s="6"/>
      <c r="AJ186" s="52"/>
    </row>
    <row x14ac:dyDescent="0.25" r="187" customHeight="1" ht="17.25">
      <c r="A187" s="11">
        <v>30.4706</v>
      </c>
      <c r="B187" s="50">
        <v>-0.692329</v>
      </c>
      <c r="C187" s="51">
        <v>30.7341</v>
      </c>
      <c r="D187" s="50">
        <v>-0.657252</v>
      </c>
      <c r="E187" s="51">
        <v>30.3993</v>
      </c>
      <c r="F187" s="50">
        <v>-0.6267834999999999</v>
      </c>
      <c r="G187" s="51">
        <v>30.502</v>
      </c>
      <c r="H187" s="50">
        <v>-0.6830775</v>
      </c>
      <c r="I187" s="51">
        <v>30.583</v>
      </c>
      <c r="J187" s="50">
        <v>-0.6351500000000001</v>
      </c>
      <c r="K187" s="51">
        <v>30.5457</v>
      </c>
      <c r="L187" s="50">
        <v>-0.6373044999999999</v>
      </c>
      <c r="M187" s="6"/>
      <c r="N187" s="52"/>
      <c r="O187" s="51">
        <v>30.4877</v>
      </c>
      <c r="P187" s="50">
        <v>-0.6102249999999999</v>
      </c>
      <c r="Q187" s="6"/>
      <c r="R187" s="52"/>
      <c r="S187" s="6"/>
      <c r="T187" s="52"/>
      <c r="U187" s="51">
        <v>30.584</v>
      </c>
      <c r="V187" s="50">
        <v>-0.605097</v>
      </c>
      <c r="W187" s="6"/>
      <c r="X187" s="52"/>
      <c r="Y187" s="6"/>
      <c r="Z187" s="52"/>
      <c r="AA187" s="51">
        <v>30.5526</v>
      </c>
      <c r="AB187" s="50">
        <v>-0.5786815000000001</v>
      </c>
      <c r="AC187" s="6"/>
      <c r="AD187" s="52"/>
      <c r="AE187" s="6"/>
      <c r="AF187" s="52"/>
      <c r="AG187" s="51">
        <v>30.6306</v>
      </c>
      <c r="AH187" s="50">
        <v>-0.591537</v>
      </c>
      <c r="AI187" s="6"/>
      <c r="AJ187" s="52"/>
    </row>
    <row x14ac:dyDescent="0.25" r="188" customHeight="1" ht="17.25">
      <c r="A188" s="11">
        <v>61.0813</v>
      </c>
      <c r="B188" s="50">
        <v>-0.6356259999999999</v>
      </c>
      <c r="C188" s="51">
        <v>61.3554</v>
      </c>
      <c r="D188" s="50">
        <v>-0.605397</v>
      </c>
      <c r="E188" s="51">
        <v>61.0104</v>
      </c>
      <c r="F188" s="50">
        <v>-0.5740265</v>
      </c>
      <c r="G188" s="51">
        <v>61.1294</v>
      </c>
      <c r="H188" s="50">
        <v>-0.6285305</v>
      </c>
      <c r="I188" s="51">
        <v>61.1976</v>
      </c>
      <c r="J188" s="50">
        <v>-0.5814620000000001</v>
      </c>
      <c r="K188" s="51">
        <v>61.1662</v>
      </c>
      <c r="L188" s="50">
        <v>-0.5853025</v>
      </c>
      <c r="M188" s="6"/>
      <c r="N188" s="52"/>
      <c r="O188" s="51">
        <v>61.092</v>
      </c>
      <c r="P188" s="50">
        <v>-0.549681</v>
      </c>
      <c r="Q188" s="6"/>
      <c r="R188" s="52"/>
      <c r="S188" s="6"/>
      <c r="T188" s="52"/>
      <c r="U188" s="51">
        <v>61.2304</v>
      </c>
      <c r="V188" s="50">
        <v>-0.541134</v>
      </c>
      <c r="W188" s="6"/>
      <c r="X188" s="52"/>
      <c r="Y188" s="6"/>
      <c r="Z188" s="52"/>
      <c r="AA188" s="51">
        <v>61.1609</v>
      </c>
      <c r="AB188" s="50">
        <v>-0.5237675</v>
      </c>
      <c r="AC188" s="6"/>
      <c r="AD188" s="52"/>
      <c r="AE188" s="6"/>
      <c r="AF188" s="52"/>
      <c r="AG188" s="51">
        <v>61.2576</v>
      </c>
      <c r="AH188" s="50">
        <v>-0.533666</v>
      </c>
      <c r="AI188" s="6"/>
      <c r="AJ188" s="52"/>
    </row>
    <row x14ac:dyDescent="0.25" r="189" customHeight="1" ht="17.25">
      <c r="A189" s="11">
        <v>122.39</v>
      </c>
      <c r="B189" s="50">
        <v>-0.48521699999999995</v>
      </c>
      <c r="C189" s="51">
        <v>122.653</v>
      </c>
      <c r="D189" s="50">
        <v>-0.469078</v>
      </c>
      <c r="E189" s="51">
        <v>122.307</v>
      </c>
      <c r="F189" s="50">
        <v>-0.42692349999999996</v>
      </c>
      <c r="G189" s="51">
        <v>122.424</v>
      </c>
      <c r="H189" s="50">
        <v>-0.48521250000000005</v>
      </c>
      <c r="I189" s="51">
        <v>122.485</v>
      </c>
      <c r="J189" s="50">
        <v>-0.4305430000000001</v>
      </c>
      <c r="K189" s="51">
        <v>122.478</v>
      </c>
      <c r="L189" s="50">
        <v>-0.44645949999999995</v>
      </c>
      <c r="M189" s="6"/>
      <c r="N189" s="52"/>
      <c r="O189" s="51">
        <v>122.41</v>
      </c>
      <c r="P189" s="50">
        <v>-0.35080999999999996</v>
      </c>
      <c r="Q189" s="6"/>
      <c r="R189" s="52"/>
      <c r="S189" s="6"/>
      <c r="T189" s="52"/>
      <c r="U189" s="51">
        <v>122.544</v>
      </c>
      <c r="V189" s="50">
        <v>-0.317187</v>
      </c>
      <c r="W189" s="6"/>
      <c r="X189" s="52"/>
      <c r="Y189" s="6"/>
      <c r="Z189" s="52"/>
      <c r="AA189" s="51">
        <v>122.477</v>
      </c>
      <c r="AB189" s="50">
        <v>-0.35720650000000004</v>
      </c>
      <c r="AC189" s="6"/>
      <c r="AD189" s="52"/>
      <c r="AE189" s="6"/>
      <c r="AF189" s="52"/>
      <c r="AG189" s="51">
        <v>122.602</v>
      </c>
      <c r="AH189" s="50">
        <v>-0.35088</v>
      </c>
      <c r="AI189" s="6"/>
      <c r="AJ189" s="52"/>
    </row>
    <row x14ac:dyDescent="0.25" r="190" customHeight="1" ht="17.25">
      <c r="A190" s="11">
        <v>244.968</v>
      </c>
      <c r="B190" s="50">
        <v>0.24436400000000008</v>
      </c>
      <c r="C190" s="51">
        <v>245.17</v>
      </c>
      <c r="D190" s="50">
        <v>0.19345800000000002</v>
      </c>
      <c r="E190" s="51">
        <v>244.817</v>
      </c>
      <c r="F190" s="50">
        <v>0.23300750000000003</v>
      </c>
      <c r="G190" s="51">
        <v>244.964</v>
      </c>
      <c r="H190" s="50">
        <v>0.21507249999999997</v>
      </c>
      <c r="I190" s="51">
        <v>245.039</v>
      </c>
      <c r="J190" s="50">
        <v>0.24094999999999991</v>
      </c>
      <c r="K190" s="51">
        <v>245.04</v>
      </c>
      <c r="L190" s="50">
        <v>0.20447750000000003</v>
      </c>
      <c r="M190" s="6"/>
      <c r="N190" s="52"/>
      <c r="O190" s="51">
        <v>244.946</v>
      </c>
      <c r="P190" s="50">
        <v>0.30684800000000007</v>
      </c>
      <c r="Q190" s="6"/>
      <c r="R190" s="52"/>
      <c r="S190" s="6"/>
      <c r="T190" s="52"/>
      <c r="U190" s="51">
        <v>245.108</v>
      </c>
      <c r="V190" s="50">
        <v>0.36529900000000004</v>
      </c>
      <c r="W190" s="6"/>
      <c r="X190" s="52"/>
      <c r="Y190" s="6"/>
      <c r="Z190" s="52"/>
      <c r="AA190" s="51">
        <v>245.054</v>
      </c>
      <c r="AB190" s="50">
        <v>0.27202849999999995</v>
      </c>
      <c r="AC190" s="6"/>
      <c r="AD190" s="52"/>
      <c r="AE190" s="6"/>
      <c r="AF190" s="52"/>
      <c r="AG190" s="51">
        <v>245.249</v>
      </c>
      <c r="AH190" s="50">
        <v>0.31252199999999997</v>
      </c>
      <c r="AI190" s="6"/>
      <c r="AJ190" s="52"/>
    </row>
    <row x14ac:dyDescent="0.25" r="191" customHeight="1" ht="17.25">
      <c r="A191" s="11">
        <v>490.081</v>
      </c>
      <c r="B191" s="50">
        <v>0.8031250000000001</v>
      </c>
      <c r="C191" s="51">
        <v>490.242</v>
      </c>
      <c r="D191" s="50">
        <v>0.7420530000000001</v>
      </c>
      <c r="E191" s="51">
        <v>489.831</v>
      </c>
      <c r="F191" s="50">
        <v>0.7375645000000001</v>
      </c>
      <c r="G191" s="51">
        <v>490.045</v>
      </c>
      <c r="H191" s="50">
        <v>0.7771454999999999</v>
      </c>
      <c r="I191" s="51">
        <v>490.109</v>
      </c>
      <c r="J191" s="50">
        <v>0.7438589999999999</v>
      </c>
      <c r="K191" s="51">
        <v>490.128</v>
      </c>
      <c r="L191" s="50">
        <v>0.7303505</v>
      </c>
      <c r="M191" s="6"/>
      <c r="N191" s="52"/>
      <c r="O191" s="51">
        <v>490.002</v>
      </c>
      <c r="P191" s="50">
        <v>0.765155</v>
      </c>
      <c r="Q191" s="6"/>
      <c r="R191" s="52"/>
      <c r="S191" s="6"/>
      <c r="T191" s="52"/>
      <c r="U191" s="51">
        <v>490.174</v>
      </c>
      <c r="V191" s="50">
        <v>0.806521</v>
      </c>
      <c r="W191" s="6"/>
      <c r="X191" s="52"/>
      <c r="Y191" s="6"/>
      <c r="Z191" s="52"/>
      <c r="AA191" s="51">
        <v>490.169</v>
      </c>
      <c r="AB191" s="50">
        <v>0.7202514999999999</v>
      </c>
      <c r="AC191" s="6"/>
      <c r="AD191" s="52"/>
      <c r="AE191" s="6"/>
      <c r="AF191" s="52"/>
      <c r="AG191" s="51">
        <v>490.533</v>
      </c>
      <c r="AH191" s="50">
        <v>0.753463</v>
      </c>
      <c r="AI191" s="6"/>
      <c r="AJ191" s="52"/>
    </row>
    <row x14ac:dyDescent="0.25" r="192" customHeight="1" ht="17.25">
      <c r="A192" s="11">
        <v>735.226</v>
      </c>
      <c r="B192" s="50">
        <v>1.0364250000000002</v>
      </c>
      <c r="C192" s="51">
        <v>735.293</v>
      </c>
      <c r="D192" s="50">
        <v>0.973616</v>
      </c>
      <c r="E192" s="51">
        <v>734.873</v>
      </c>
      <c r="F192" s="50">
        <v>0.9629385</v>
      </c>
      <c r="G192" s="51">
        <v>735.112</v>
      </c>
      <c r="H192" s="50">
        <v>1.0114625</v>
      </c>
      <c r="I192" s="51">
        <v>735.144</v>
      </c>
      <c r="J192" s="50">
        <v>0.968783</v>
      </c>
      <c r="K192" s="51">
        <v>735.237</v>
      </c>
      <c r="L192" s="50">
        <v>0.9603605000000001</v>
      </c>
      <c r="M192" s="6"/>
      <c r="N192" s="52"/>
      <c r="O192" s="51">
        <v>735.077</v>
      </c>
      <c r="P192" s="50">
        <v>0.98694</v>
      </c>
      <c r="Q192" s="6"/>
      <c r="R192" s="52"/>
      <c r="S192" s="6"/>
      <c r="T192" s="52"/>
      <c r="U192" s="51">
        <v>735.237</v>
      </c>
      <c r="V192" s="50">
        <v>1.021195</v>
      </c>
      <c r="W192" s="6"/>
      <c r="X192" s="52"/>
      <c r="Y192" s="6"/>
      <c r="Z192" s="52"/>
      <c r="AA192" s="51">
        <v>735.28</v>
      </c>
      <c r="AB192" s="50">
        <v>0.9390824999999999</v>
      </c>
      <c r="AC192" s="6"/>
      <c r="AD192" s="52"/>
      <c r="AE192" s="6"/>
      <c r="AF192" s="52"/>
      <c r="AG192" s="51">
        <v>735.799</v>
      </c>
      <c r="AH192" s="50">
        <v>0.9696629999999999</v>
      </c>
      <c r="AI192" s="6"/>
      <c r="AJ192" s="52"/>
    </row>
    <row x14ac:dyDescent="0.25" r="193" customHeight="1" ht="17.25">
      <c r="A193" s="11">
        <v>980.397</v>
      </c>
      <c r="B193" s="50">
        <v>1.1879950000000001</v>
      </c>
      <c r="C193" s="51">
        <v>980.35</v>
      </c>
      <c r="D193" s="50">
        <v>1.12708</v>
      </c>
      <c r="E193" s="51">
        <v>979.964</v>
      </c>
      <c r="F193" s="50">
        <v>1.1159775</v>
      </c>
      <c r="G193" s="51">
        <v>980.263</v>
      </c>
      <c r="H193" s="50">
        <v>1.1643325</v>
      </c>
      <c r="I193" s="51">
        <v>980.287</v>
      </c>
      <c r="J193" s="50">
        <v>1.12107</v>
      </c>
      <c r="K193" s="51">
        <v>980.37</v>
      </c>
      <c r="L193" s="50">
        <v>1.1156225</v>
      </c>
      <c r="M193" s="6"/>
      <c r="N193" s="52"/>
      <c r="O193" s="51">
        <v>980.2</v>
      </c>
      <c r="P193" s="50">
        <v>1.13935</v>
      </c>
      <c r="Q193" s="6"/>
      <c r="R193" s="52"/>
      <c r="S193" s="6"/>
      <c r="T193" s="52"/>
      <c r="U193" s="51">
        <v>980.357</v>
      </c>
      <c r="V193" s="50">
        <v>1.1684649999999999</v>
      </c>
      <c r="W193" s="6"/>
      <c r="X193" s="52"/>
      <c r="Y193" s="6"/>
      <c r="Z193" s="52"/>
      <c r="AA193" s="51">
        <v>980.456</v>
      </c>
      <c r="AB193" s="50">
        <v>1.0938275</v>
      </c>
      <c r="AC193" s="6"/>
      <c r="AD193" s="52"/>
      <c r="AE193" s="6"/>
      <c r="AF193" s="52"/>
      <c r="AG193" s="51">
        <v>981.14</v>
      </c>
      <c r="AH193" s="50">
        <v>1.12182</v>
      </c>
      <c r="AI193" s="6"/>
      <c r="AJ193" s="52"/>
    </row>
    <row x14ac:dyDescent="0.25" r="194" customHeight="1" ht="17.25">
      <c r="A194" s="11">
        <v>1225.53</v>
      </c>
      <c r="B194" s="50">
        <v>1.295895</v>
      </c>
      <c r="C194" s="51">
        <v>1225.42</v>
      </c>
      <c r="D194" s="50">
        <v>1.23982</v>
      </c>
      <c r="E194" s="51">
        <v>1224.97</v>
      </c>
      <c r="F194" s="50">
        <v>1.2302675</v>
      </c>
      <c r="G194" s="51">
        <v>1225.31</v>
      </c>
      <c r="H194" s="50">
        <v>1.2740524999999998</v>
      </c>
      <c r="I194" s="51">
        <v>1225.36</v>
      </c>
      <c r="J194" s="50">
        <v>1.23475</v>
      </c>
      <c r="K194" s="51">
        <v>1225.48</v>
      </c>
      <c r="L194" s="50">
        <v>1.2308625</v>
      </c>
      <c r="M194" s="6"/>
      <c r="N194" s="52"/>
      <c r="O194" s="51">
        <v>1225.27</v>
      </c>
      <c r="P194" s="50">
        <v>1.25119</v>
      </c>
      <c r="Q194" s="6"/>
      <c r="R194" s="52"/>
      <c r="S194" s="6"/>
      <c r="T194" s="52"/>
      <c r="U194" s="51">
        <v>1225.41</v>
      </c>
      <c r="V194" s="50">
        <v>1.275805</v>
      </c>
      <c r="W194" s="6"/>
      <c r="X194" s="52"/>
      <c r="Y194" s="6"/>
      <c r="Z194" s="52"/>
      <c r="AA194" s="51">
        <v>1225.56</v>
      </c>
      <c r="AB194" s="50">
        <v>1.2108375</v>
      </c>
      <c r="AC194" s="6"/>
      <c r="AD194" s="52"/>
      <c r="AE194" s="6"/>
      <c r="AF194" s="52"/>
      <c r="AG194" s="51">
        <v>1226.39</v>
      </c>
      <c r="AH194" s="50">
        <v>1.23563</v>
      </c>
      <c r="AI194" s="6"/>
      <c r="AJ194" s="52"/>
    </row>
    <row x14ac:dyDescent="0.25" r="195" customHeight="1" ht="17.25">
      <c r="A195" s="11">
        <v>1470.63</v>
      </c>
      <c r="B195" s="50">
        <v>1.374305</v>
      </c>
      <c r="C195" s="51">
        <v>1470.49</v>
      </c>
      <c r="D195" s="50">
        <v>1.32424</v>
      </c>
      <c r="E195" s="51">
        <v>1470.01</v>
      </c>
      <c r="F195" s="50">
        <v>1.3171375</v>
      </c>
      <c r="G195" s="51">
        <v>1470.43</v>
      </c>
      <c r="H195" s="50">
        <v>1.3545025000000002</v>
      </c>
      <c r="I195" s="51">
        <v>1470.42</v>
      </c>
      <c r="J195" s="50">
        <v>1.3211499999999998</v>
      </c>
      <c r="K195" s="51">
        <v>1470.6</v>
      </c>
      <c r="L195" s="50">
        <v>1.3177325</v>
      </c>
      <c r="M195" s="6"/>
      <c r="N195" s="52"/>
      <c r="O195" s="51">
        <v>1470.33</v>
      </c>
      <c r="P195" s="50">
        <v>1.33433</v>
      </c>
      <c r="Q195" s="6"/>
      <c r="R195" s="52"/>
      <c r="S195" s="6"/>
      <c r="T195" s="52"/>
      <c r="U195" s="51">
        <v>1470.5</v>
      </c>
      <c r="V195" s="50">
        <v>1.3548550000000001</v>
      </c>
      <c r="W195" s="6"/>
      <c r="X195" s="52"/>
      <c r="Y195" s="6"/>
      <c r="Z195" s="52"/>
      <c r="AA195" s="51">
        <v>1470.73</v>
      </c>
      <c r="AB195" s="50">
        <v>1.3002675</v>
      </c>
      <c r="AC195" s="6"/>
      <c r="AD195" s="52"/>
      <c r="AE195" s="6"/>
      <c r="AF195" s="52"/>
      <c r="AG195" s="51">
        <v>1471.68</v>
      </c>
      <c r="AH195" s="50">
        <v>1.32131</v>
      </c>
      <c r="AI195" s="6"/>
      <c r="AJ195" s="52"/>
    </row>
    <row x14ac:dyDescent="0.25" r="196" customHeight="1" ht="17.25">
      <c r="A196" s="11">
        <v>1715.81</v>
      </c>
      <c r="B196" s="50">
        <v>1.432315</v>
      </c>
      <c r="C196" s="51">
        <v>1715.56</v>
      </c>
      <c r="D196" s="50">
        <v>1.38808</v>
      </c>
      <c r="E196" s="51">
        <v>1715.08</v>
      </c>
      <c r="F196" s="50">
        <v>1.3837175</v>
      </c>
      <c r="G196" s="51">
        <v>1715.54</v>
      </c>
      <c r="H196" s="50">
        <v>1.4145225</v>
      </c>
      <c r="I196" s="51">
        <v>1715.54</v>
      </c>
      <c r="J196" s="50">
        <v>1.38709</v>
      </c>
      <c r="K196" s="51">
        <v>1715.7</v>
      </c>
      <c r="L196" s="50">
        <v>1.3837525</v>
      </c>
      <c r="M196" s="6"/>
      <c r="N196" s="52"/>
      <c r="O196" s="51">
        <v>1715.49</v>
      </c>
      <c r="P196" s="50">
        <v>1.3967800000000001</v>
      </c>
      <c r="Q196" s="6"/>
      <c r="R196" s="52"/>
      <c r="S196" s="6"/>
      <c r="T196" s="52"/>
      <c r="U196" s="51">
        <v>1715.58</v>
      </c>
      <c r="V196" s="50">
        <v>1.4141849999999998</v>
      </c>
      <c r="W196" s="6"/>
      <c r="X196" s="52"/>
      <c r="Y196" s="6"/>
      <c r="Z196" s="52"/>
      <c r="AA196" s="51">
        <v>1715.9</v>
      </c>
      <c r="AB196" s="50">
        <v>1.3685175</v>
      </c>
      <c r="AC196" s="6"/>
      <c r="AD196" s="52"/>
      <c r="AE196" s="6"/>
      <c r="AF196" s="52"/>
      <c r="AG196" s="51">
        <v>1717</v>
      </c>
      <c r="AH196" s="50">
        <v>1.38609</v>
      </c>
      <c r="AI196" s="6"/>
      <c r="AJ196" s="52"/>
    </row>
    <row x14ac:dyDescent="0.25" r="197" customHeight="1" ht="17.25">
      <c r="A197" s="11">
        <v>1960.91</v>
      </c>
      <c r="B197" s="50">
        <v>1.4763350000000002</v>
      </c>
      <c r="C197" s="51">
        <v>1960.59</v>
      </c>
      <c r="D197" s="50">
        <v>1.43699</v>
      </c>
      <c r="E197" s="51">
        <v>1960.09</v>
      </c>
      <c r="F197" s="50">
        <v>1.4350575</v>
      </c>
      <c r="G197" s="51">
        <v>1960.65</v>
      </c>
      <c r="H197" s="50">
        <v>1.4602925</v>
      </c>
      <c r="I197" s="51">
        <v>1960.57</v>
      </c>
      <c r="J197" s="50">
        <v>1.43818</v>
      </c>
      <c r="K197" s="51">
        <v>1960.81</v>
      </c>
      <c r="L197" s="50">
        <v>1.4344625</v>
      </c>
      <c r="M197" s="6"/>
      <c r="N197" s="52"/>
      <c r="O197" s="51">
        <v>1960.57</v>
      </c>
      <c r="P197" s="50">
        <v>1.44469</v>
      </c>
      <c r="Q197" s="6"/>
      <c r="R197" s="52"/>
      <c r="S197" s="6"/>
      <c r="T197" s="52"/>
      <c r="U197" s="51">
        <v>1960.7</v>
      </c>
      <c r="V197" s="50">
        <v>1.4596149999999999</v>
      </c>
      <c r="W197" s="6"/>
      <c r="X197" s="52"/>
      <c r="Y197" s="6"/>
      <c r="Z197" s="52"/>
      <c r="AA197" s="51">
        <v>1961.04</v>
      </c>
      <c r="AB197" s="50">
        <v>1.4211675</v>
      </c>
      <c r="AC197" s="6"/>
      <c r="AD197" s="52"/>
      <c r="AE197" s="6"/>
      <c r="AF197" s="52"/>
      <c r="AG197" s="51">
        <v>1962.3</v>
      </c>
      <c r="AH197" s="50">
        <v>1.43596</v>
      </c>
      <c r="AI197" s="6"/>
      <c r="AJ197" s="52"/>
    </row>
    <row x14ac:dyDescent="0.25" r="198" customHeight="1" ht="17.25">
      <c r="A198" s="11">
        <v>2206.02</v>
      </c>
      <c r="B198" s="50">
        <v>1.5108650000000001</v>
      </c>
      <c r="C198" s="51">
        <v>2205.59</v>
      </c>
      <c r="D198" s="50">
        <v>1.4753</v>
      </c>
      <c r="E198" s="51">
        <v>2205.1</v>
      </c>
      <c r="F198" s="50">
        <v>1.4752175</v>
      </c>
      <c r="G198" s="51">
        <v>2205.66</v>
      </c>
      <c r="H198" s="50">
        <v>1.4960624999999999</v>
      </c>
      <c r="I198" s="51">
        <v>2205.6</v>
      </c>
      <c r="J198" s="50">
        <v>1.4782899999999999</v>
      </c>
      <c r="K198" s="51">
        <v>2205.87</v>
      </c>
      <c r="L198" s="50">
        <v>1.4742925</v>
      </c>
      <c r="M198" s="6"/>
      <c r="N198" s="52"/>
      <c r="O198" s="51">
        <v>2205.58</v>
      </c>
      <c r="P198" s="50">
        <v>1.48239</v>
      </c>
      <c r="Q198" s="6"/>
      <c r="R198" s="52"/>
      <c r="S198" s="6"/>
      <c r="T198" s="52"/>
      <c r="U198" s="51">
        <v>2205.69</v>
      </c>
      <c r="V198" s="50">
        <v>1.4953349999999999</v>
      </c>
      <c r="W198" s="6"/>
      <c r="X198" s="52"/>
      <c r="Y198" s="6"/>
      <c r="Z198" s="52"/>
      <c r="AA198" s="51">
        <v>2206.12</v>
      </c>
      <c r="AB198" s="50">
        <v>1.4627175</v>
      </c>
      <c r="AC198" s="6"/>
      <c r="AD198" s="52"/>
      <c r="AE198" s="6"/>
      <c r="AF198" s="52"/>
      <c r="AG198" s="51">
        <v>2207.54</v>
      </c>
      <c r="AH198" s="50">
        <v>1.47513</v>
      </c>
      <c r="AI198" s="6"/>
      <c r="AJ198" s="52"/>
    </row>
    <row x14ac:dyDescent="0.25" r="199" customHeight="1" ht="17.25">
      <c r="A199" s="11">
        <v>2451.14</v>
      </c>
      <c r="B199" s="50">
        <v>1.538855</v>
      </c>
      <c r="C199" s="51">
        <v>2450.66</v>
      </c>
      <c r="D199" s="50">
        <v>1.50616</v>
      </c>
      <c r="E199" s="51">
        <v>2450.1</v>
      </c>
      <c r="F199" s="50">
        <v>1.5075975000000001</v>
      </c>
      <c r="G199" s="51">
        <v>2450.68</v>
      </c>
      <c r="H199" s="50">
        <v>1.5249424999999999</v>
      </c>
      <c r="I199" s="51">
        <v>2450.65</v>
      </c>
      <c r="J199" s="50">
        <v>1.51066</v>
      </c>
      <c r="K199" s="51">
        <v>2451.02</v>
      </c>
      <c r="L199" s="50">
        <v>1.5063625</v>
      </c>
      <c r="M199" s="6"/>
      <c r="N199" s="52"/>
      <c r="O199" s="51">
        <v>2450.65</v>
      </c>
      <c r="P199" s="50">
        <v>1.51293</v>
      </c>
      <c r="Q199" s="6"/>
      <c r="R199" s="52"/>
      <c r="S199" s="6"/>
      <c r="T199" s="52"/>
      <c r="U199" s="51">
        <v>2450.81</v>
      </c>
      <c r="V199" s="50">
        <v>1.5241950000000002</v>
      </c>
      <c r="W199" s="6"/>
      <c r="X199" s="52"/>
      <c r="Y199" s="6"/>
      <c r="Z199" s="52"/>
      <c r="AA199" s="51">
        <v>2451.18</v>
      </c>
      <c r="AB199" s="50">
        <v>1.4961974999999998</v>
      </c>
      <c r="AC199" s="6"/>
      <c r="AD199" s="52"/>
      <c r="AE199" s="6"/>
      <c r="AF199" s="52"/>
      <c r="AG199" s="51">
        <v>2452.82</v>
      </c>
      <c r="AH199" s="50">
        <v>1.50685</v>
      </c>
      <c r="AI199" s="6"/>
      <c r="AJ199" s="52"/>
    </row>
    <row x14ac:dyDescent="0.25" r="200" customHeight="1" ht="17.25">
      <c r="A200" s="11">
        <v>2696.29</v>
      </c>
      <c r="B200" s="50">
        <v>1.562105</v>
      </c>
      <c r="C200" s="51">
        <v>2695.74</v>
      </c>
      <c r="D200" s="50">
        <v>1.53169</v>
      </c>
      <c r="E200" s="51">
        <v>2695.14</v>
      </c>
      <c r="F200" s="50">
        <v>1.5342775</v>
      </c>
      <c r="G200" s="51">
        <v>2695.82</v>
      </c>
      <c r="H200" s="50">
        <v>1.5490225</v>
      </c>
      <c r="I200" s="51">
        <v>2695.74</v>
      </c>
      <c r="J200" s="50">
        <v>1.53721</v>
      </c>
      <c r="K200" s="51">
        <v>2696.2</v>
      </c>
      <c r="L200" s="50">
        <v>1.5329225</v>
      </c>
      <c r="M200" s="6"/>
      <c r="N200" s="52"/>
      <c r="O200" s="51">
        <v>2695.8</v>
      </c>
      <c r="P200" s="50">
        <v>1.5382200000000001</v>
      </c>
      <c r="Q200" s="6"/>
      <c r="R200" s="52"/>
      <c r="S200" s="6"/>
      <c r="T200" s="52"/>
      <c r="U200" s="51">
        <v>2695.86</v>
      </c>
      <c r="V200" s="50">
        <v>1.5482049999999998</v>
      </c>
      <c r="W200" s="6"/>
      <c r="X200" s="52"/>
      <c r="Y200" s="6"/>
      <c r="Z200" s="52"/>
      <c r="AA200" s="51">
        <v>2696.36</v>
      </c>
      <c r="AB200" s="50">
        <v>1.5239075</v>
      </c>
      <c r="AC200" s="6"/>
      <c r="AD200" s="52"/>
      <c r="AE200" s="6"/>
      <c r="AF200" s="52"/>
      <c r="AG200" s="51">
        <v>2698.12</v>
      </c>
      <c r="AH200" s="50">
        <v>1.53318</v>
      </c>
      <c r="AI200" s="6"/>
      <c r="AJ200" s="52"/>
    </row>
    <row x14ac:dyDescent="0.25" r="201" customHeight="1" ht="17.25">
      <c r="A201" s="11">
        <v>2941.43</v>
      </c>
      <c r="B201" s="50">
        <v>1.582005</v>
      </c>
      <c r="C201" s="51">
        <v>2940.8</v>
      </c>
      <c r="D201" s="50">
        <v>1.55329</v>
      </c>
      <c r="E201" s="51">
        <v>2940.12</v>
      </c>
      <c r="F201" s="50">
        <v>1.5568575</v>
      </c>
      <c r="G201" s="51">
        <v>2940.93</v>
      </c>
      <c r="H201" s="50">
        <v>1.5695424999999998</v>
      </c>
      <c r="I201" s="51">
        <v>2940.81</v>
      </c>
      <c r="J201" s="50">
        <v>1.55984</v>
      </c>
      <c r="K201" s="51">
        <v>2941.25</v>
      </c>
      <c r="L201" s="50">
        <v>1.5552925</v>
      </c>
      <c r="M201" s="6"/>
      <c r="N201" s="52"/>
      <c r="O201" s="51">
        <v>2940.9</v>
      </c>
      <c r="P201" s="50">
        <v>1.5597</v>
      </c>
      <c r="Q201" s="6"/>
      <c r="R201" s="52"/>
      <c r="S201" s="6"/>
      <c r="T201" s="52"/>
      <c r="U201" s="51">
        <v>2940.96</v>
      </c>
      <c r="V201" s="50">
        <v>1.5687350000000002</v>
      </c>
      <c r="W201" s="6"/>
      <c r="X201" s="52"/>
      <c r="Y201" s="6"/>
      <c r="Z201" s="52"/>
      <c r="AA201" s="51">
        <v>2941.49</v>
      </c>
      <c r="AB201" s="50">
        <v>1.5473175</v>
      </c>
      <c r="AC201" s="6"/>
      <c r="AD201" s="52"/>
      <c r="AE201" s="6"/>
      <c r="AF201" s="52"/>
      <c r="AG201" s="51">
        <v>2943.42</v>
      </c>
      <c r="AH201" s="50">
        <v>1.55555</v>
      </c>
      <c r="AI201" s="6"/>
      <c r="AJ201" s="52"/>
    </row>
    <row x14ac:dyDescent="0.25" r="202" customHeight="1" ht="17.25">
      <c r="A202" s="11">
        <v>3186.55</v>
      </c>
      <c r="B202" s="50">
        <v>1.599575</v>
      </c>
      <c r="C202" s="51">
        <v>3185.84</v>
      </c>
      <c r="D202" s="50">
        <v>1.57208</v>
      </c>
      <c r="E202" s="51">
        <v>3185.14</v>
      </c>
      <c r="F202" s="50">
        <v>1.5762975000000001</v>
      </c>
      <c r="G202" s="51">
        <v>3186.03</v>
      </c>
      <c r="H202" s="50">
        <v>1.5873525000000002</v>
      </c>
      <c r="I202" s="51">
        <v>3185.86</v>
      </c>
      <c r="J202" s="50">
        <v>1.57931</v>
      </c>
      <c r="K202" s="51">
        <v>3186.33</v>
      </c>
      <c r="L202" s="50">
        <v>1.5746825</v>
      </c>
      <c r="M202" s="6"/>
      <c r="N202" s="52"/>
      <c r="O202" s="51">
        <v>3185.91</v>
      </c>
      <c r="P202" s="50">
        <v>1.57847</v>
      </c>
      <c r="Q202" s="6"/>
      <c r="R202" s="52"/>
      <c r="S202" s="6"/>
      <c r="T202" s="52"/>
      <c r="U202" s="51">
        <v>3186.05</v>
      </c>
      <c r="V202" s="50">
        <v>1.5865550000000002</v>
      </c>
      <c r="W202" s="6"/>
      <c r="X202" s="52"/>
      <c r="Y202" s="6"/>
      <c r="Z202" s="52"/>
      <c r="AA202" s="51">
        <v>3186.62</v>
      </c>
      <c r="AB202" s="50">
        <v>1.5674575</v>
      </c>
      <c r="AC202" s="6"/>
      <c r="AD202" s="52"/>
      <c r="AE202" s="6"/>
      <c r="AF202" s="52"/>
      <c r="AG202" s="51">
        <v>3188.75</v>
      </c>
      <c r="AH202" s="50">
        <v>1.57486</v>
      </c>
      <c r="AI202" s="6"/>
      <c r="AJ202" s="52"/>
    </row>
    <row x14ac:dyDescent="0.25" r="203" customHeight="1" ht="17.25">
      <c r="A203" s="11">
        <v>3431.71</v>
      </c>
      <c r="B203" s="50">
        <v>1.615065</v>
      </c>
      <c r="C203" s="51">
        <v>3430.94</v>
      </c>
      <c r="D203" s="50">
        <v>1.58854</v>
      </c>
      <c r="E203" s="51">
        <v>3430.24</v>
      </c>
      <c r="F203" s="50">
        <v>1.5933275</v>
      </c>
      <c r="G203" s="51">
        <v>3431.21</v>
      </c>
      <c r="H203" s="50">
        <v>1.6030924999999998</v>
      </c>
      <c r="I203" s="51">
        <v>3430.94</v>
      </c>
      <c r="J203" s="50">
        <v>1.5964099999999999</v>
      </c>
      <c r="K203" s="51">
        <v>3431.5</v>
      </c>
      <c r="L203" s="50">
        <v>1.5916525000000001</v>
      </c>
      <c r="M203" s="6"/>
      <c r="N203" s="52"/>
      <c r="O203" s="51">
        <v>3431.01</v>
      </c>
      <c r="P203" s="50">
        <v>1.59508</v>
      </c>
      <c r="Q203" s="6"/>
      <c r="R203" s="52"/>
      <c r="S203" s="6"/>
      <c r="T203" s="52"/>
      <c r="U203" s="51">
        <v>3431.12</v>
      </c>
      <c r="V203" s="50">
        <v>1.6023550000000002</v>
      </c>
      <c r="W203" s="6"/>
      <c r="X203" s="52"/>
      <c r="Y203" s="6"/>
      <c r="Z203" s="52"/>
      <c r="AA203" s="51">
        <v>3431.83</v>
      </c>
      <c r="AB203" s="50">
        <v>1.5850674999999999</v>
      </c>
      <c r="AC203" s="6"/>
      <c r="AD203" s="52"/>
      <c r="AE203" s="6"/>
      <c r="AF203" s="52"/>
      <c r="AG203" s="51">
        <v>3434.12</v>
      </c>
      <c r="AH203" s="50">
        <v>1.59194</v>
      </c>
      <c r="AI203" s="6"/>
      <c r="AJ203" s="52"/>
    </row>
    <row x14ac:dyDescent="0.25" r="204" customHeight="1" ht="17.25">
      <c r="A204" s="11">
        <v>3676.88</v>
      </c>
      <c r="B204" s="50">
        <v>1.629015</v>
      </c>
      <c r="C204" s="51">
        <v>3676</v>
      </c>
      <c r="D204" s="50">
        <v>1.60324</v>
      </c>
      <c r="E204" s="51">
        <v>3675.27</v>
      </c>
      <c r="F204" s="50">
        <v>1.6085275</v>
      </c>
      <c r="G204" s="51">
        <v>3676.31</v>
      </c>
      <c r="H204" s="50">
        <v>1.6173224999999998</v>
      </c>
      <c r="I204" s="51">
        <v>3676.06</v>
      </c>
      <c r="J204" s="50">
        <v>1.61157</v>
      </c>
      <c r="K204" s="51">
        <v>3676.59</v>
      </c>
      <c r="L204" s="50">
        <v>1.6068525</v>
      </c>
      <c r="M204" s="6"/>
      <c r="N204" s="52"/>
      <c r="O204" s="51">
        <v>3676.14</v>
      </c>
      <c r="P204" s="50">
        <v>1.60993</v>
      </c>
      <c r="Q204" s="6"/>
      <c r="R204" s="52"/>
      <c r="S204" s="6"/>
      <c r="T204" s="52"/>
      <c r="U204" s="51">
        <v>3676.16</v>
      </c>
      <c r="V204" s="50">
        <v>1.6165250000000002</v>
      </c>
      <c r="W204" s="6"/>
      <c r="X204" s="52"/>
      <c r="Y204" s="6"/>
      <c r="Z204" s="52"/>
      <c r="AA204" s="51">
        <v>3676.87</v>
      </c>
      <c r="AB204" s="50">
        <v>1.6008775</v>
      </c>
      <c r="AC204" s="6"/>
      <c r="AD204" s="52"/>
      <c r="AE204" s="6"/>
      <c r="AF204" s="52"/>
      <c r="AG204" s="51">
        <v>3679.28</v>
      </c>
      <c r="AH204" s="50">
        <v>1.6072</v>
      </c>
      <c r="AI204" s="6"/>
      <c r="AJ204" s="52"/>
    </row>
    <row x14ac:dyDescent="0.25" r="205" customHeight="1" ht="17.25">
      <c r="A205" s="11">
        <v>3922.02</v>
      </c>
      <c r="B205" s="50">
        <v>1.6417650000000001</v>
      </c>
      <c r="C205" s="51">
        <v>3921.09</v>
      </c>
      <c r="D205" s="50">
        <v>1.61657</v>
      </c>
      <c r="E205" s="51">
        <v>3920.37</v>
      </c>
      <c r="F205" s="50">
        <v>1.6222175</v>
      </c>
      <c r="G205" s="51">
        <v>3921.29</v>
      </c>
      <c r="H205" s="50">
        <v>1.6302525</v>
      </c>
      <c r="I205" s="51">
        <v>3921.15</v>
      </c>
      <c r="J205" s="50">
        <v>1.62539</v>
      </c>
      <c r="K205" s="51">
        <v>3921.77</v>
      </c>
      <c r="L205" s="50">
        <v>1.6206625000000001</v>
      </c>
      <c r="M205" s="6"/>
      <c r="N205" s="52"/>
      <c r="O205" s="51">
        <v>3921.22</v>
      </c>
      <c r="P205" s="50">
        <v>1.62334</v>
      </c>
      <c r="Q205" s="6"/>
      <c r="R205" s="52"/>
      <c r="S205" s="6"/>
      <c r="T205" s="52"/>
      <c r="U205" s="51">
        <v>3921.29</v>
      </c>
      <c r="V205" s="50">
        <v>1.629435</v>
      </c>
      <c r="W205" s="6"/>
      <c r="X205" s="52"/>
      <c r="Y205" s="6"/>
      <c r="Z205" s="52"/>
      <c r="AA205" s="51">
        <v>3922.05</v>
      </c>
      <c r="AB205" s="50">
        <v>1.6151575</v>
      </c>
      <c r="AC205" s="6"/>
      <c r="AD205" s="52"/>
      <c r="AE205" s="6"/>
      <c r="AF205" s="52"/>
      <c r="AG205" s="51">
        <v>3924.65</v>
      </c>
      <c r="AH205" s="50">
        <v>1.6210499999999999</v>
      </c>
      <c r="AI205" s="6"/>
      <c r="AJ205" s="52"/>
    </row>
    <row x14ac:dyDescent="0.25" r="206" customHeight="1" ht="17.25">
      <c r="A206" s="11">
        <v>4167.14</v>
      </c>
      <c r="B206" s="50">
        <v>1.653465</v>
      </c>
      <c r="C206" s="51">
        <v>4166.16</v>
      </c>
      <c r="D206" s="50">
        <v>1.6288</v>
      </c>
      <c r="E206" s="51">
        <v>4165.44</v>
      </c>
      <c r="F206" s="50">
        <v>1.6347875</v>
      </c>
      <c r="G206" s="51">
        <v>4166.37</v>
      </c>
      <c r="H206" s="50">
        <v>1.6422425</v>
      </c>
      <c r="I206" s="51">
        <v>4166.13</v>
      </c>
      <c r="J206" s="50">
        <v>1.6379599999999999</v>
      </c>
      <c r="K206" s="51">
        <v>4166.96</v>
      </c>
      <c r="L206" s="50">
        <v>1.6332925</v>
      </c>
      <c r="M206" s="6"/>
      <c r="N206" s="52"/>
      <c r="O206" s="51">
        <v>4166.38</v>
      </c>
      <c r="P206" s="50">
        <v>1.63572</v>
      </c>
      <c r="Q206" s="6"/>
      <c r="R206" s="52"/>
      <c r="S206" s="6"/>
      <c r="T206" s="52"/>
      <c r="U206" s="51">
        <v>4166.45</v>
      </c>
      <c r="V206" s="50">
        <v>1.6414149999999998</v>
      </c>
      <c r="W206" s="6"/>
      <c r="X206" s="52"/>
      <c r="Y206" s="6"/>
      <c r="Z206" s="52"/>
      <c r="AA206" s="51">
        <v>4167.15</v>
      </c>
      <c r="AB206" s="50">
        <v>1.6281775</v>
      </c>
      <c r="AC206" s="6"/>
      <c r="AD206" s="52"/>
      <c r="AE206" s="6"/>
      <c r="AF206" s="52"/>
      <c r="AG206" s="51">
        <v>4169.85</v>
      </c>
      <c r="AH206" s="50">
        <v>1.63383</v>
      </c>
      <c r="AI206" s="6"/>
      <c r="AJ206" s="52"/>
    </row>
    <row x14ac:dyDescent="0.25" r="207" customHeight="1" ht="17.25">
      <c r="A207" s="11">
        <v>4412.42</v>
      </c>
      <c r="B207" s="50">
        <v>1.664455</v>
      </c>
      <c r="C207" s="51">
        <v>4411.29</v>
      </c>
      <c r="D207" s="50">
        <v>1.6401700000000001</v>
      </c>
      <c r="E207" s="51">
        <v>4410.53</v>
      </c>
      <c r="F207" s="50">
        <v>1.6463575000000001</v>
      </c>
      <c r="G207" s="51">
        <v>4411.44</v>
      </c>
      <c r="H207" s="50">
        <v>1.6533125000000002</v>
      </c>
      <c r="I207" s="51">
        <v>4411.36</v>
      </c>
      <c r="J207" s="50">
        <v>1.6496099999999998</v>
      </c>
      <c r="K207" s="51">
        <v>4412.08</v>
      </c>
      <c r="L207" s="50">
        <v>1.6450425</v>
      </c>
      <c r="M207" s="6"/>
      <c r="N207" s="52"/>
      <c r="O207" s="51">
        <v>4411.48</v>
      </c>
      <c r="P207" s="50">
        <v>1.6472200000000001</v>
      </c>
      <c r="Q207" s="6"/>
      <c r="R207" s="52"/>
      <c r="S207" s="6"/>
      <c r="T207" s="52"/>
      <c r="U207" s="51">
        <v>4411.48</v>
      </c>
      <c r="V207" s="50">
        <v>1.6525249999999998</v>
      </c>
      <c r="W207" s="6"/>
      <c r="X207" s="52"/>
      <c r="Y207" s="6"/>
      <c r="Z207" s="52"/>
      <c r="AA207" s="51">
        <v>4412.39</v>
      </c>
      <c r="AB207" s="50">
        <v>1.6402174999999999</v>
      </c>
      <c r="AC207" s="6"/>
      <c r="AD207" s="52"/>
      <c r="AE207" s="6"/>
      <c r="AF207" s="52"/>
      <c r="AG207" s="51">
        <v>4415.12</v>
      </c>
      <c r="AH207" s="50">
        <v>1.64561</v>
      </c>
      <c r="AI207" s="6"/>
      <c r="AJ207" s="52"/>
    </row>
    <row x14ac:dyDescent="0.25" r="208" customHeight="1" ht="17.25">
      <c r="A208" s="11">
        <v>4657.57</v>
      </c>
      <c r="B208" s="50">
        <v>1.674695</v>
      </c>
      <c r="C208" s="51">
        <v>4656.35</v>
      </c>
      <c r="D208" s="50">
        <v>1.6507100000000001</v>
      </c>
      <c r="E208" s="51">
        <v>4655.48</v>
      </c>
      <c r="F208" s="50">
        <v>1.6571575</v>
      </c>
      <c r="G208" s="51">
        <v>4656.56</v>
      </c>
      <c r="H208" s="50">
        <v>1.6635624999999998</v>
      </c>
      <c r="I208" s="51">
        <v>4656.46</v>
      </c>
      <c r="J208" s="50">
        <v>1.6604999999999999</v>
      </c>
      <c r="K208" s="51">
        <v>4656.99</v>
      </c>
      <c r="L208" s="50">
        <v>1.6559725</v>
      </c>
      <c r="M208" s="6"/>
      <c r="N208" s="52"/>
      <c r="O208" s="51">
        <v>4656.58</v>
      </c>
      <c r="P208" s="50">
        <v>1.65788</v>
      </c>
      <c r="Q208" s="6"/>
      <c r="R208" s="52"/>
      <c r="S208" s="6"/>
      <c r="T208" s="52"/>
      <c r="U208" s="51">
        <v>4656.61</v>
      </c>
      <c r="V208" s="50">
        <v>1.662855</v>
      </c>
      <c r="W208" s="6"/>
      <c r="X208" s="52"/>
      <c r="Y208" s="6"/>
      <c r="Z208" s="52"/>
      <c r="AA208" s="51">
        <v>4657.53</v>
      </c>
      <c r="AB208" s="50">
        <v>1.6513375</v>
      </c>
      <c r="AC208" s="6"/>
      <c r="AD208" s="52"/>
      <c r="AE208" s="6"/>
      <c r="AF208" s="52"/>
      <c r="AG208" s="51">
        <v>4660.43</v>
      </c>
      <c r="AH208" s="50">
        <v>1.65659</v>
      </c>
      <c r="AI208" s="6"/>
      <c r="AJ208" s="52"/>
    </row>
    <row x14ac:dyDescent="0.25" r="209" customHeight="1" ht="17.25">
      <c r="A209" s="11">
        <v>4902.68</v>
      </c>
      <c r="B209" s="50">
        <v>1.684485</v>
      </c>
      <c r="C209" s="51">
        <v>4901.37</v>
      </c>
      <c r="D209" s="50">
        <v>1.66063</v>
      </c>
      <c r="E209" s="51">
        <v>4900.55</v>
      </c>
      <c r="F209" s="50">
        <v>1.6673075</v>
      </c>
      <c r="G209" s="51">
        <v>4901.66</v>
      </c>
      <c r="H209" s="50">
        <v>1.6733725000000002</v>
      </c>
      <c r="I209" s="51">
        <v>4901.55</v>
      </c>
      <c r="J209" s="50">
        <v>1.6706599999999998</v>
      </c>
      <c r="K209" s="51">
        <v>4902.22</v>
      </c>
      <c r="L209" s="50">
        <v>1.6660125000000001</v>
      </c>
      <c r="M209" s="6"/>
      <c r="N209" s="52"/>
      <c r="O209" s="51">
        <v>4901.77</v>
      </c>
      <c r="P209" s="50">
        <v>1.6679300000000001</v>
      </c>
      <c r="Q209" s="6"/>
      <c r="R209" s="52"/>
      <c r="S209" s="6"/>
      <c r="T209" s="52"/>
      <c r="U209" s="51">
        <v>4901.69</v>
      </c>
      <c r="V209" s="50">
        <v>1.672565</v>
      </c>
      <c r="W209" s="6"/>
      <c r="X209" s="52"/>
      <c r="Y209" s="6"/>
      <c r="Z209" s="52"/>
      <c r="AA209" s="51">
        <v>4902.68</v>
      </c>
      <c r="AB209" s="50">
        <v>1.6617875</v>
      </c>
      <c r="AC209" s="6"/>
      <c r="AD209" s="52"/>
      <c r="AE209" s="6"/>
      <c r="AF209" s="52"/>
      <c r="AG209" s="51">
        <v>4905.86</v>
      </c>
      <c r="AH209" s="50">
        <v>1.66685</v>
      </c>
      <c r="AI209" s="6"/>
      <c r="AJ209" s="52"/>
    </row>
    <row x14ac:dyDescent="0.25" r="210" customHeight="1" ht="17.25">
      <c r="A210" s="11">
        <v>5147.92</v>
      </c>
      <c r="B210" s="50">
        <v>1.6936550000000001</v>
      </c>
      <c r="C210" s="51">
        <v>5146.58</v>
      </c>
      <c r="D210" s="50">
        <v>1.67002</v>
      </c>
      <c r="E210" s="51">
        <v>5145.63</v>
      </c>
      <c r="F210" s="50">
        <v>1.6768575000000001</v>
      </c>
      <c r="G210" s="51">
        <v>5146.98</v>
      </c>
      <c r="H210" s="50">
        <v>1.6826325</v>
      </c>
      <c r="I210" s="51">
        <v>5146.76</v>
      </c>
      <c r="J210" s="50">
        <v>1.6802</v>
      </c>
      <c r="K210" s="51">
        <v>5147.39</v>
      </c>
      <c r="L210" s="50">
        <v>1.6755525</v>
      </c>
      <c r="M210" s="6"/>
      <c r="N210" s="52"/>
      <c r="O210" s="51">
        <v>5146.86</v>
      </c>
      <c r="P210" s="50">
        <v>1.67733</v>
      </c>
      <c r="Q210" s="6"/>
      <c r="R210" s="52"/>
      <c r="S210" s="6"/>
      <c r="T210" s="52"/>
      <c r="U210" s="51">
        <v>5146.9</v>
      </c>
      <c r="V210" s="50">
        <v>1.6818149999999998</v>
      </c>
      <c r="W210" s="6"/>
      <c r="X210" s="52"/>
      <c r="Y210" s="6"/>
      <c r="Z210" s="52"/>
      <c r="AA210" s="51">
        <v>5147.79</v>
      </c>
      <c r="AB210" s="50">
        <v>1.6716575</v>
      </c>
      <c r="AC210" s="6"/>
      <c r="AD210" s="52"/>
      <c r="AE210" s="6"/>
      <c r="AF210" s="52"/>
      <c r="AG210" s="51">
        <v>5151.21</v>
      </c>
      <c r="AH210" s="50">
        <v>1.67659</v>
      </c>
      <c r="AI210" s="6"/>
      <c r="AJ210" s="52"/>
    </row>
    <row x14ac:dyDescent="0.25" r="211" customHeight="1" ht="17.25">
      <c r="A211" s="11">
        <v>5393.18</v>
      </c>
      <c r="B211" s="50">
        <v>1.7024050000000002</v>
      </c>
      <c r="C211" s="51">
        <v>5391.65</v>
      </c>
      <c r="D211" s="50">
        <v>1.67888</v>
      </c>
      <c r="E211" s="51">
        <v>5390.82</v>
      </c>
      <c r="F211" s="50">
        <v>1.6858775000000001</v>
      </c>
      <c r="G211" s="51">
        <v>5392.08</v>
      </c>
      <c r="H211" s="50">
        <v>1.6913925</v>
      </c>
      <c r="I211" s="51">
        <v>5391.9</v>
      </c>
      <c r="J211" s="50">
        <v>1.6892699999999998</v>
      </c>
      <c r="K211" s="51">
        <v>5392.48</v>
      </c>
      <c r="L211" s="50">
        <v>1.6845725</v>
      </c>
      <c r="M211" s="6"/>
      <c r="N211" s="52"/>
      <c r="O211" s="51">
        <v>5392.02</v>
      </c>
      <c r="P211" s="50">
        <v>1.6863700000000001</v>
      </c>
      <c r="Q211" s="6"/>
      <c r="R211" s="52"/>
      <c r="S211" s="6"/>
      <c r="T211" s="52"/>
      <c r="U211" s="51">
        <v>5391.93</v>
      </c>
      <c r="V211" s="50">
        <v>1.6906349999999999</v>
      </c>
      <c r="W211" s="6"/>
      <c r="X211" s="52"/>
      <c r="Y211" s="6"/>
      <c r="Z211" s="52"/>
      <c r="AA211" s="51">
        <v>5392.97</v>
      </c>
      <c r="AB211" s="50">
        <v>1.6808874999999999</v>
      </c>
      <c r="AC211" s="6"/>
      <c r="AD211" s="52"/>
      <c r="AE211" s="6"/>
      <c r="AF211" s="52"/>
      <c r="AG211" s="51">
        <v>5396.45</v>
      </c>
      <c r="AH211" s="50">
        <v>1.68574</v>
      </c>
      <c r="AI211" s="6"/>
      <c r="AJ211" s="52"/>
    </row>
    <row x14ac:dyDescent="0.25" r="212" customHeight="1" ht="17.25">
      <c r="A212" s="11">
        <v>5638.35</v>
      </c>
      <c r="B212" s="50">
        <v>1.7107350000000001</v>
      </c>
      <c r="C212" s="51">
        <v>5636.71</v>
      </c>
      <c r="D212" s="50">
        <v>1.68732</v>
      </c>
      <c r="E212" s="51">
        <v>5635.79</v>
      </c>
      <c r="F212" s="50">
        <v>1.6944375</v>
      </c>
      <c r="G212" s="51">
        <v>5637.3</v>
      </c>
      <c r="H212" s="50">
        <v>1.6997325</v>
      </c>
      <c r="I212" s="51">
        <v>5636.99</v>
      </c>
      <c r="J212" s="50">
        <v>1.6979099999999998</v>
      </c>
      <c r="K212" s="51">
        <v>5637.6</v>
      </c>
      <c r="L212" s="50">
        <v>1.6930625000000001</v>
      </c>
      <c r="M212" s="6"/>
      <c r="N212" s="52"/>
      <c r="O212" s="51">
        <v>5637.02</v>
      </c>
      <c r="P212" s="50">
        <v>1.69503</v>
      </c>
      <c r="Q212" s="6"/>
      <c r="R212" s="52"/>
      <c r="S212" s="6"/>
      <c r="T212" s="52"/>
      <c r="U212" s="51">
        <v>5637.07</v>
      </c>
      <c r="V212" s="50">
        <v>1.698935</v>
      </c>
      <c r="W212" s="6"/>
      <c r="X212" s="52"/>
      <c r="Y212" s="6"/>
      <c r="Z212" s="52"/>
      <c r="AA212" s="51">
        <v>5638.07</v>
      </c>
      <c r="AB212" s="50">
        <v>1.6896974999999999</v>
      </c>
      <c r="AC212" s="6"/>
      <c r="AD212" s="52"/>
      <c r="AE212" s="6"/>
      <c r="AF212" s="52"/>
      <c r="AG212" s="51">
        <v>5641.79</v>
      </c>
      <c r="AH212" s="50">
        <v>1.69455</v>
      </c>
      <c r="AI212" s="6"/>
      <c r="AJ212" s="52"/>
    </row>
    <row x14ac:dyDescent="0.25" r="213" customHeight="1" ht="17.25">
      <c r="A213" s="11">
        <v>5883.49</v>
      </c>
      <c r="B213" s="50">
        <v>1.718695</v>
      </c>
      <c r="C213" s="51">
        <v>5881.75</v>
      </c>
      <c r="D213" s="50">
        <v>1.69548</v>
      </c>
      <c r="E213" s="51">
        <v>5880.79</v>
      </c>
      <c r="F213" s="50">
        <v>1.7025475</v>
      </c>
      <c r="G213" s="51">
        <v>5882.28</v>
      </c>
      <c r="H213" s="50">
        <v>1.7077125</v>
      </c>
      <c r="I213" s="51">
        <v>5882.12</v>
      </c>
      <c r="J213" s="50">
        <v>1.7061</v>
      </c>
      <c r="K213" s="51">
        <v>5882.67</v>
      </c>
      <c r="L213" s="50">
        <v>1.7013525</v>
      </c>
      <c r="M213" s="6"/>
      <c r="N213" s="52"/>
      <c r="O213" s="51">
        <v>5882.14</v>
      </c>
      <c r="P213" s="50">
        <v>1.7032</v>
      </c>
      <c r="Q213" s="6"/>
      <c r="R213" s="52"/>
      <c r="S213" s="6"/>
      <c r="T213" s="52"/>
      <c r="U213" s="51">
        <v>5882.15</v>
      </c>
      <c r="V213" s="50">
        <v>1.706935</v>
      </c>
      <c r="W213" s="6"/>
      <c r="X213" s="52"/>
      <c r="Y213" s="6"/>
      <c r="Z213" s="52"/>
      <c r="AA213" s="51">
        <v>5883.24</v>
      </c>
      <c r="AB213" s="50">
        <v>1.6981675</v>
      </c>
      <c r="AC213" s="6"/>
      <c r="AD213" s="52"/>
      <c r="AE213" s="6"/>
      <c r="AF213" s="52"/>
      <c r="AG213" s="51">
        <v>5886.95</v>
      </c>
      <c r="AH213" s="50">
        <v>1.70296</v>
      </c>
      <c r="AI213" s="6"/>
      <c r="AJ213" s="52"/>
    </row>
    <row x14ac:dyDescent="0.25" r="214" customHeight="1" ht="17.25">
      <c r="A214" s="11">
        <v>6128.67</v>
      </c>
      <c r="B214" s="50">
        <v>1.726345</v>
      </c>
      <c r="C214" s="51">
        <v>6126.73</v>
      </c>
      <c r="D214" s="50">
        <v>1.7032100000000001</v>
      </c>
      <c r="E214" s="51">
        <v>6125.95</v>
      </c>
      <c r="F214" s="50">
        <v>1.7103775</v>
      </c>
      <c r="G214" s="51">
        <v>6127.39</v>
      </c>
      <c r="H214" s="50">
        <v>1.7154325</v>
      </c>
      <c r="I214" s="51">
        <v>6127.28</v>
      </c>
      <c r="J214" s="50">
        <v>1.71397</v>
      </c>
      <c r="K214" s="51">
        <v>6127.84</v>
      </c>
      <c r="L214" s="50">
        <v>1.7092525</v>
      </c>
      <c r="M214" s="6"/>
      <c r="N214" s="52"/>
      <c r="O214" s="51">
        <v>6127.32</v>
      </c>
      <c r="P214" s="50">
        <v>1.7111100000000001</v>
      </c>
      <c r="Q214" s="6"/>
      <c r="R214" s="52"/>
      <c r="S214" s="6"/>
      <c r="T214" s="52"/>
      <c r="U214" s="51">
        <v>6127.23</v>
      </c>
      <c r="V214" s="50">
        <v>1.714715</v>
      </c>
      <c r="W214" s="6"/>
      <c r="X214" s="52"/>
      <c r="Y214" s="6"/>
      <c r="Z214" s="52"/>
      <c r="AA214" s="51">
        <v>6128.34</v>
      </c>
      <c r="AB214" s="50">
        <v>1.7062175</v>
      </c>
      <c r="AC214" s="6"/>
      <c r="AD214" s="52"/>
      <c r="AE214" s="6"/>
      <c r="AF214" s="52"/>
      <c r="AG214" s="51">
        <v>6132.34</v>
      </c>
      <c r="AH214" s="50">
        <v>1.7111399999999999</v>
      </c>
      <c r="AI214" s="6"/>
      <c r="AJ214" s="52"/>
    </row>
    <row x14ac:dyDescent="0.25" r="215" customHeight="1" ht="17.25">
      <c r="A215" s="11">
        <v>6373.7</v>
      </c>
      <c r="B215" s="50">
        <v>1.733695</v>
      </c>
      <c r="C215" s="51">
        <v>6371.83</v>
      </c>
      <c r="D215" s="50">
        <v>1.71073</v>
      </c>
      <c r="E215" s="51">
        <v>6370.84</v>
      </c>
      <c r="F215" s="50">
        <v>1.7179275</v>
      </c>
      <c r="G215" s="51">
        <v>6372.5</v>
      </c>
      <c r="H215" s="50">
        <v>1.7228325</v>
      </c>
      <c r="I215" s="51">
        <v>6372.39</v>
      </c>
      <c r="J215" s="50">
        <v>1.72146</v>
      </c>
      <c r="K215" s="51">
        <v>6373.19</v>
      </c>
      <c r="L215" s="50">
        <v>1.7168625</v>
      </c>
      <c r="M215" s="6"/>
      <c r="N215" s="52"/>
      <c r="O215" s="51">
        <v>6372.33</v>
      </c>
      <c r="P215" s="50">
        <v>1.71872</v>
      </c>
      <c r="Q215" s="6"/>
      <c r="R215" s="52"/>
      <c r="S215" s="6"/>
      <c r="T215" s="52"/>
      <c r="U215" s="51">
        <v>6372.19</v>
      </c>
      <c r="V215" s="50">
        <v>1.7220849999999999</v>
      </c>
      <c r="W215" s="6"/>
      <c r="X215" s="52"/>
      <c r="Y215" s="6"/>
      <c r="Z215" s="52"/>
      <c r="AA215" s="51">
        <v>6373.61</v>
      </c>
      <c r="AB215" s="50">
        <v>1.7139075</v>
      </c>
      <c r="AC215" s="6"/>
      <c r="AD215" s="52"/>
      <c r="AE215" s="6"/>
      <c r="AF215" s="52"/>
      <c r="AG215" s="51">
        <v>6377.66</v>
      </c>
      <c r="AH215" s="50">
        <v>1.71876</v>
      </c>
      <c r="AI215" s="6"/>
      <c r="AJ215" s="52"/>
    </row>
    <row x14ac:dyDescent="0.25" r="216" customHeight="1" ht="17.25">
      <c r="A216" s="11">
        <v>6618.95</v>
      </c>
      <c r="B216" s="50">
        <v>1.7408050000000002</v>
      </c>
      <c r="C216" s="51">
        <v>6616.88</v>
      </c>
      <c r="D216" s="50">
        <v>1.7178200000000001</v>
      </c>
      <c r="E216" s="51">
        <v>6615.86</v>
      </c>
      <c r="F216" s="50">
        <v>1.7253075</v>
      </c>
      <c r="G216" s="51">
        <v>6617.53</v>
      </c>
      <c r="H216" s="50">
        <v>1.7300425000000001</v>
      </c>
      <c r="I216" s="51">
        <v>6617.16</v>
      </c>
      <c r="J216" s="50">
        <v>1.72878</v>
      </c>
      <c r="K216" s="51">
        <v>6618.33</v>
      </c>
      <c r="L216" s="50">
        <v>1.7241125</v>
      </c>
      <c r="M216" s="6"/>
      <c r="N216" s="52"/>
      <c r="O216" s="51">
        <v>6617.45</v>
      </c>
      <c r="P216" s="50">
        <v>1.72601</v>
      </c>
      <c r="Q216" s="6"/>
      <c r="R216" s="52"/>
      <c r="S216" s="6"/>
      <c r="T216" s="52"/>
      <c r="U216" s="51">
        <v>6617.23</v>
      </c>
      <c r="V216" s="50">
        <v>1.729295</v>
      </c>
      <c r="W216" s="6"/>
      <c r="X216" s="52"/>
      <c r="Y216" s="6"/>
      <c r="Z216" s="52"/>
      <c r="AA216" s="51">
        <v>6618.59</v>
      </c>
      <c r="AB216" s="50">
        <v>1.7214375</v>
      </c>
      <c r="AC216" s="6"/>
      <c r="AD216" s="52"/>
      <c r="AE216" s="6"/>
      <c r="AF216" s="52"/>
      <c r="AG216" s="51">
        <v>6622.79</v>
      </c>
      <c r="AH216" s="50">
        <v>1.72623</v>
      </c>
      <c r="AI216" s="6"/>
      <c r="AJ216" s="52"/>
    </row>
    <row x14ac:dyDescent="0.25" r="217" customHeight="1" ht="17.25">
      <c r="A217" s="11">
        <v>6864.05</v>
      </c>
      <c r="B217" s="50">
        <v>1.747675</v>
      </c>
      <c r="C217" s="51">
        <v>6861.92</v>
      </c>
      <c r="D217" s="50">
        <v>1.72475</v>
      </c>
      <c r="E217" s="51">
        <v>6861.08</v>
      </c>
      <c r="F217" s="50">
        <v>1.7322275</v>
      </c>
      <c r="G217" s="51">
        <v>6862.79</v>
      </c>
      <c r="H217" s="50">
        <v>1.7369325</v>
      </c>
      <c r="I217" s="51">
        <v>6862.5</v>
      </c>
      <c r="J217" s="50">
        <v>1.73585</v>
      </c>
      <c r="K217" s="51">
        <v>6863.51</v>
      </c>
      <c r="L217" s="50">
        <v>1.7312425</v>
      </c>
      <c r="M217" s="6"/>
      <c r="N217" s="52"/>
      <c r="O217" s="51">
        <v>6862.43</v>
      </c>
      <c r="P217" s="50">
        <v>1.73312</v>
      </c>
      <c r="Q217" s="6"/>
      <c r="R217" s="52"/>
      <c r="S217" s="6"/>
      <c r="T217" s="52"/>
      <c r="U217" s="51">
        <v>6862.37</v>
      </c>
      <c r="V217" s="50">
        <v>1.7363149999999998</v>
      </c>
      <c r="W217" s="6"/>
      <c r="X217" s="52"/>
      <c r="Y217" s="6"/>
      <c r="Z217" s="52"/>
      <c r="AA217" s="51">
        <v>6863.7</v>
      </c>
      <c r="AB217" s="50">
        <v>1.7285475</v>
      </c>
      <c r="AC217" s="6"/>
      <c r="AD217" s="52"/>
      <c r="AE217" s="6"/>
      <c r="AF217" s="52"/>
      <c r="AG217" s="51">
        <v>6868.01</v>
      </c>
      <c r="AH217" s="50">
        <v>1.73324</v>
      </c>
      <c r="AI217" s="6"/>
      <c r="AJ217" s="52"/>
    </row>
    <row x14ac:dyDescent="0.25" r="218" customHeight="1" ht="17.25">
      <c r="A218" s="11">
        <v>7109.42</v>
      </c>
      <c r="B218" s="50">
        <v>1.7543650000000002</v>
      </c>
      <c r="C218" s="51">
        <v>7107.01</v>
      </c>
      <c r="D218" s="50">
        <v>1.7315</v>
      </c>
      <c r="E218" s="51">
        <v>7106.12</v>
      </c>
      <c r="F218" s="50">
        <v>1.7390975</v>
      </c>
      <c r="G218" s="51">
        <v>7108.04</v>
      </c>
      <c r="H218" s="50">
        <v>1.7436625000000001</v>
      </c>
      <c r="I218" s="51">
        <v>7107.62</v>
      </c>
      <c r="J218" s="50">
        <v>1.74264</v>
      </c>
      <c r="K218" s="51">
        <v>7108.62</v>
      </c>
      <c r="L218" s="50">
        <v>1.7380625</v>
      </c>
      <c r="M218" s="6"/>
      <c r="N218" s="52"/>
      <c r="O218" s="51">
        <v>7107.54</v>
      </c>
      <c r="P218" s="50">
        <v>1.73998</v>
      </c>
      <c r="Q218" s="6"/>
      <c r="R218" s="52"/>
      <c r="S218" s="6"/>
      <c r="T218" s="52"/>
      <c r="U218" s="51">
        <v>7107.47</v>
      </c>
      <c r="V218" s="50">
        <v>1.743045</v>
      </c>
      <c r="W218" s="6"/>
      <c r="X218" s="52"/>
      <c r="Y218" s="6"/>
      <c r="Z218" s="52"/>
      <c r="AA218" s="51">
        <v>7108.84</v>
      </c>
      <c r="AB218" s="50">
        <v>1.7354975</v>
      </c>
      <c r="AC218" s="6"/>
      <c r="AD218" s="52"/>
      <c r="AE218" s="6"/>
      <c r="AF218" s="52"/>
      <c r="AG218" s="51">
        <v>7113.29</v>
      </c>
      <c r="AH218" s="50">
        <v>1.74005</v>
      </c>
      <c r="AI218" s="6"/>
      <c r="AJ218" s="52"/>
    </row>
    <row x14ac:dyDescent="0.25" r="219" customHeight="1" ht="17.25">
      <c r="A219" s="11">
        <v>7354.43</v>
      </c>
      <c r="B219" s="50">
        <v>1.760775</v>
      </c>
      <c r="C219" s="51">
        <v>7352.27</v>
      </c>
      <c r="D219" s="50">
        <v>1.73803</v>
      </c>
      <c r="E219" s="51">
        <v>7351.28</v>
      </c>
      <c r="F219" s="50">
        <v>1.7458175</v>
      </c>
      <c r="G219" s="51">
        <v>7353.11</v>
      </c>
      <c r="H219" s="50">
        <v>1.7501425</v>
      </c>
      <c r="I219" s="51">
        <v>7352.71</v>
      </c>
      <c r="J219" s="50">
        <v>1.74921</v>
      </c>
      <c r="K219" s="51">
        <v>7353.75</v>
      </c>
      <c r="L219" s="50">
        <v>1.7447325</v>
      </c>
      <c r="M219" s="6"/>
      <c r="N219" s="52"/>
      <c r="O219" s="51">
        <v>7352.82</v>
      </c>
      <c r="P219" s="50">
        <v>1.74662</v>
      </c>
      <c r="Q219" s="6"/>
      <c r="R219" s="52"/>
      <c r="S219" s="6"/>
      <c r="T219" s="52"/>
      <c r="U219" s="51">
        <v>7352.59</v>
      </c>
      <c r="V219" s="50">
        <v>1.7495250000000002</v>
      </c>
      <c r="W219" s="6"/>
      <c r="X219" s="52"/>
      <c r="Y219" s="6"/>
      <c r="Z219" s="52"/>
      <c r="AA219" s="51">
        <v>7354.04</v>
      </c>
      <c r="AB219" s="50">
        <v>1.7422374999999999</v>
      </c>
      <c r="AC219" s="6"/>
      <c r="AD219" s="52"/>
      <c r="AE219" s="6"/>
      <c r="AF219" s="52"/>
      <c r="AG219" s="51">
        <v>7358.75</v>
      </c>
      <c r="AH219" s="50">
        <v>1.7468</v>
      </c>
      <c r="AI219" s="6"/>
      <c r="AJ219" s="52"/>
    </row>
    <row x14ac:dyDescent="0.25" r="220" customHeight="1" ht="17.25">
      <c r="A220" s="11">
        <v>7599.6</v>
      </c>
      <c r="B220" s="50">
        <v>1.767125</v>
      </c>
      <c r="C220" s="51">
        <v>7597.25</v>
      </c>
      <c r="D220" s="50">
        <v>1.74438</v>
      </c>
      <c r="E220" s="51">
        <v>7596.22</v>
      </c>
      <c r="F220" s="50">
        <v>1.7522875</v>
      </c>
      <c r="G220" s="51">
        <v>7598.34</v>
      </c>
      <c r="H220" s="50">
        <v>1.7565225</v>
      </c>
      <c r="I220" s="51">
        <v>7597.93</v>
      </c>
      <c r="J220" s="50">
        <v>1.7555699999999999</v>
      </c>
      <c r="K220" s="51">
        <v>7598.89</v>
      </c>
      <c r="L220" s="50">
        <v>1.7511925</v>
      </c>
      <c r="M220" s="6"/>
      <c r="N220" s="52"/>
      <c r="O220" s="51">
        <v>7597.9</v>
      </c>
      <c r="P220" s="50">
        <v>1.7530400000000002</v>
      </c>
      <c r="Q220" s="6"/>
      <c r="R220" s="52"/>
      <c r="S220" s="6"/>
      <c r="T220" s="52"/>
      <c r="U220" s="51">
        <v>7597.73</v>
      </c>
      <c r="V220" s="50">
        <v>1.7558250000000002</v>
      </c>
      <c r="W220" s="6"/>
      <c r="X220" s="52"/>
      <c r="Y220" s="6"/>
      <c r="Z220" s="52"/>
      <c r="AA220" s="51">
        <v>7599.27</v>
      </c>
      <c r="AB220" s="50">
        <v>1.7488575</v>
      </c>
      <c r="AC220" s="6"/>
      <c r="AD220" s="52"/>
      <c r="AE220" s="6"/>
      <c r="AF220" s="52"/>
      <c r="AG220" s="51">
        <v>7604.22</v>
      </c>
      <c r="AH220" s="50">
        <v>1.75335</v>
      </c>
      <c r="AI220" s="6"/>
      <c r="AJ220" s="52"/>
    </row>
    <row x14ac:dyDescent="0.25" r="221" customHeight="1" ht="17.25">
      <c r="A221" s="11">
        <v>7844.82</v>
      </c>
      <c r="B221" s="50">
        <v>1.7734050000000001</v>
      </c>
      <c r="C221" s="51">
        <v>7842.32</v>
      </c>
      <c r="D221" s="50">
        <v>1.75058</v>
      </c>
      <c r="E221" s="51">
        <v>7841.53</v>
      </c>
      <c r="F221" s="50">
        <v>1.7585175</v>
      </c>
      <c r="G221" s="51">
        <v>7843.51</v>
      </c>
      <c r="H221" s="50">
        <v>1.7626624999999998</v>
      </c>
      <c r="I221" s="51">
        <v>7843.01</v>
      </c>
      <c r="J221" s="50">
        <v>1.76188</v>
      </c>
      <c r="K221" s="51">
        <v>7844.02</v>
      </c>
      <c r="L221" s="50">
        <v>1.7574225</v>
      </c>
      <c r="M221" s="6"/>
      <c r="N221" s="52"/>
      <c r="O221" s="51">
        <v>7843.13</v>
      </c>
      <c r="P221" s="50">
        <v>1.75932</v>
      </c>
      <c r="Q221" s="6"/>
      <c r="R221" s="52"/>
      <c r="S221" s="6"/>
      <c r="T221" s="52"/>
      <c r="U221" s="51">
        <v>7842.73</v>
      </c>
      <c r="V221" s="50">
        <v>1.7619250000000002</v>
      </c>
      <c r="W221" s="6"/>
      <c r="X221" s="52"/>
      <c r="Y221" s="6"/>
      <c r="Z221" s="52"/>
      <c r="AA221" s="51">
        <v>7844.49</v>
      </c>
      <c r="AB221" s="50">
        <v>1.7550774999999998</v>
      </c>
      <c r="AC221" s="6"/>
      <c r="AD221" s="52"/>
      <c r="AE221" s="6"/>
      <c r="AF221" s="52"/>
      <c r="AG221" s="51">
        <v>7849.36</v>
      </c>
      <c r="AH221" s="50">
        <v>1.75953</v>
      </c>
      <c r="AI221" s="6"/>
      <c r="AJ221" s="52"/>
    </row>
    <row x14ac:dyDescent="0.25" r="222" customHeight="1" ht="17.25">
      <c r="A222" s="11">
        <v>8089.84</v>
      </c>
      <c r="B222" s="50">
        <v>1.779415</v>
      </c>
      <c r="C222" s="51">
        <v>8087.55</v>
      </c>
      <c r="D222" s="50">
        <v>1.75659</v>
      </c>
      <c r="E222" s="51">
        <v>8086.51</v>
      </c>
      <c r="F222" s="50">
        <v>1.7646275</v>
      </c>
      <c r="G222" s="51">
        <v>8088.57</v>
      </c>
      <c r="H222" s="50">
        <v>1.7686924999999998</v>
      </c>
      <c r="I222" s="51">
        <v>8088.18</v>
      </c>
      <c r="J222" s="50">
        <v>1.76789</v>
      </c>
      <c r="K222" s="51">
        <v>8089.16</v>
      </c>
      <c r="L222" s="50">
        <v>1.7635225</v>
      </c>
      <c r="M222" s="6"/>
      <c r="N222" s="52"/>
      <c r="O222" s="51">
        <v>8088.43</v>
      </c>
      <c r="P222" s="50">
        <v>1.76536</v>
      </c>
      <c r="Q222" s="6"/>
      <c r="R222" s="52"/>
      <c r="S222" s="6"/>
      <c r="T222" s="52"/>
      <c r="U222" s="51">
        <v>8087.85</v>
      </c>
      <c r="V222" s="50">
        <v>1.7679550000000002</v>
      </c>
      <c r="W222" s="6"/>
      <c r="X222" s="52"/>
      <c r="Y222" s="6"/>
      <c r="Z222" s="52"/>
      <c r="AA222" s="51">
        <v>8089.64</v>
      </c>
      <c r="AB222" s="50">
        <v>1.7612975</v>
      </c>
      <c r="AC222" s="6"/>
      <c r="AD222" s="52"/>
      <c r="AE222" s="6"/>
      <c r="AF222" s="52"/>
      <c r="AG222" s="51">
        <v>8094.83</v>
      </c>
      <c r="AH222" s="50">
        <v>1.76564</v>
      </c>
      <c r="AI222" s="6"/>
      <c r="AJ222" s="52"/>
    </row>
    <row x14ac:dyDescent="0.25" r="223" customHeight="1" ht="17.25">
      <c r="A223" s="11">
        <v>8334.93</v>
      </c>
      <c r="B223" s="50">
        <v>1.785245</v>
      </c>
      <c r="C223" s="51">
        <v>8332.6</v>
      </c>
      <c r="D223" s="50">
        <v>1.76242</v>
      </c>
      <c r="E223" s="51">
        <v>8331.62</v>
      </c>
      <c r="F223" s="50">
        <v>1.7704575</v>
      </c>
      <c r="G223" s="51">
        <v>8333.56</v>
      </c>
      <c r="H223" s="50">
        <v>1.7745525</v>
      </c>
      <c r="I223" s="51">
        <v>8333.19</v>
      </c>
      <c r="J223" s="50">
        <v>1.77386</v>
      </c>
      <c r="K223" s="51">
        <v>8334.15</v>
      </c>
      <c r="L223" s="50">
        <v>1.7695125</v>
      </c>
      <c r="M223" s="6"/>
      <c r="N223" s="52"/>
      <c r="O223" s="51">
        <v>8333.47</v>
      </c>
      <c r="P223" s="50">
        <v>1.7713100000000002</v>
      </c>
      <c r="Q223" s="6"/>
      <c r="R223" s="52"/>
      <c r="S223" s="6"/>
      <c r="T223" s="52"/>
      <c r="U223" s="51">
        <v>8332.93</v>
      </c>
      <c r="V223" s="50">
        <v>1.773905</v>
      </c>
      <c r="W223" s="6"/>
      <c r="X223" s="52"/>
      <c r="Y223" s="6"/>
      <c r="Z223" s="52"/>
      <c r="AA223" s="51">
        <v>8334.9</v>
      </c>
      <c r="AB223" s="50">
        <v>1.7674174999999999</v>
      </c>
      <c r="AC223" s="6"/>
      <c r="AD223" s="52"/>
      <c r="AE223" s="6"/>
      <c r="AF223" s="52"/>
      <c r="AG223" s="51">
        <v>8340.1</v>
      </c>
      <c r="AH223" s="50">
        <v>1.77177</v>
      </c>
      <c r="AI223" s="6"/>
      <c r="AJ223" s="52"/>
    </row>
    <row x14ac:dyDescent="0.25" r="224" customHeight="1" ht="17.25">
      <c r="A224" s="11">
        <v>8580.34</v>
      </c>
      <c r="B224" s="50">
        <v>1.791015</v>
      </c>
      <c r="C224" s="51">
        <v>8577.6</v>
      </c>
      <c r="D224" s="50">
        <v>1.76821</v>
      </c>
      <c r="E224" s="51">
        <v>8576.74</v>
      </c>
      <c r="F224" s="50">
        <v>1.7762375000000001</v>
      </c>
      <c r="G224" s="51">
        <v>8578.63</v>
      </c>
      <c r="H224" s="50">
        <v>1.7802425</v>
      </c>
      <c r="I224" s="51">
        <v>8578.39</v>
      </c>
      <c r="J224" s="50">
        <v>1.77962</v>
      </c>
      <c r="K224" s="51">
        <v>8579.45</v>
      </c>
      <c r="L224" s="50">
        <v>1.7752925</v>
      </c>
      <c r="M224" s="6"/>
      <c r="N224" s="52"/>
      <c r="O224" s="51">
        <v>8578.61</v>
      </c>
      <c r="P224" s="50">
        <v>1.77711</v>
      </c>
      <c r="Q224" s="6"/>
      <c r="R224" s="52"/>
      <c r="S224" s="6"/>
      <c r="T224" s="52"/>
      <c r="U224" s="51">
        <v>8578.21</v>
      </c>
      <c r="V224" s="50">
        <v>1.779575</v>
      </c>
      <c r="W224" s="6"/>
      <c r="X224" s="52"/>
      <c r="Y224" s="6"/>
      <c r="Z224" s="52"/>
      <c r="AA224" s="51">
        <v>8579.94</v>
      </c>
      <c r="AB224" s="50">
        <v>1.7734275</v>
      </c>
      <c r="AC224" s="6"/>
      <c r="AD224" s="52"/>
      <c r="AE224" s="6"/>
      <c r="AF224" s="52"/>
      <c r="AG224" s="51">
        <v>8585.51</v>
      </c>
      <c r="AH224" s="50">
        <v>1.77759</v>
      </c>
      <c r="AI224" s="6"/>
      <c r="AJ224" s="52"/>
    </row>
    <row x14ac:dyDescent="0.25" r="225" customHeight="1" ht="17.25">
      <c r="A225" s="11">
        <v>8825.51</v>
      </c>
      <c r="B225" s="50">
        <v>1.796605</v>
      </c>
      <c r="C225" s="51">
        <v>8822.71</v>
      </c>
      <c r="D225" s="50">
        <v>1.7738</v>
      </c>
      <c r="E225" s="51">
        <v>8821.46</v>
      </c>
      <c r="F225" s="50">
        <v>1.7817875</v>
      </c>
      <c r="G225" s="51">
        <v>8823.7</v>
      </c>
      <c r="H225" s="50">
        <v>1.7858625</v>
      </c>
      <c r="I225" s="51">
        <v>8823.47</v>
      </c>
      <c r="J225" s="50">
        <v>1.7852899999999998</v>
      </c>
      <c r="K225" s="51">
        <v>8824.53</v>
      </c>
      <c r="L225" s="50">
        <v>1.7809925</v>
      </c>
      <c r="M225" s="6"/>
      <c r="N225" s="52"/>
      <c r="O225" s="51">
        <v>8823.79</v>
      </c>
      <c r="P225" s="50">
        <v>1.7828600000000001</v>
      </c>
      <c r="Q225" s="6"/>
      <c r="R225" s="52"/>
      <c r="S225" s="6"/>
      <c r="T225" s="52"/>
      <c r="U225" s="51">
        <v>8823.27</v>
      </c>
      <c r="V225" s="50">
        <v>1.785085</v>
      </c>
      <c r="W225" s="6"/>
      <c r="X225" s="52"/>
      <c r="Y225" s="6"/>
      <c r="Z225" s="52"/>
      <c r="AA225" s="51">
        <v>8824.98</v>
      </c>
      <c r="AB225" s="50">
        <v>1.7791074999999998</v>
      </c>
      <c r="AC225" s="6"/>
      <c r="AD225" s="52"/>
      <c r="AE225" s="6"/>
      <c r="AF225" s="52"/>
      <c r="AG225" s="51">
        <v>8830.75</v>
      </c>
      <c r="AH225" s="50">
        <v>1.7834</v>
      </c>
      <c r="AI225" s="6"/>
      <c r="AJ225" s="52"/>
    </row>
    <row x14ac:dyDescent="0.25" r="226" customHeight="1" ht="17.25">
      <c r="A226" s="11">
        <v>9070.68</v>
      </c>
      <c r="B226" s="50">
        <v>1.802005</v>
      </c>
      <c r="C226" s="51">
        <v>9067.71</v>
      </c>
      <c r="D226" s="50">
        <v>1.77918</v>
      </c>
      <c r="E226" s="51">
        <v>9066.78</v>
      </c>
      <c r="F226" s="50">
        <v>1.7873575</v>
      </c>
      <c r="G226" s="51">
        <v>9068.89</v>
      </c>
      <c r="H226" s="50">
        <v>1.7913125</v>
      </c>
      <c r="I226" s="51">
        <v>9068.54</v>
      </c>
      <c r="J226" s="50">
        <v>1.7908199999999999</v>
      </c>
      <c r="K226" s="51">
        <v>9069.45</v>
      </c>
      <c r="L226" s="50">
        <v>1.7865725000000001</v>
      </c>
      <c r="M226" s="6"/>
      <c r="N226" s="52"/>
      <c r="O226" s="51">
        <v>9068.84</v>
      </c>
      <c r="P226" s="50">
        <v>1.7884600000000002</v>
      </c>
      <c r="Q226" s="6"/>
      <c r="R226" s="52"/>
      <c r="S226" s="6"/>
      <c r="T226" s="52"/>
      <c r="U226" s="51">
        <v>9068.51</v>
      </c>
      <c r="V226" s="50">
        <v>1.7905350000000002</v>
      </c>
      <c r="W226" s="6"/>
      <c r="X226" s="52"/>
      <c r="Y226" s="6"/>
      <c r="Z226" s="52"/>
      <c r="AA226" s="51">
        <v>9070.28</v>
      </c>
      <c r="AB226" s="50">
        <v>1.7847075</v>
      </c>
      <c r="AC226" s="6"/>
      <c r="AD226" s="52"/>
      <c r="AE226" s="6"/>
      <c r="AF226" s="52"/>
      <c r="AG226" s="51">
        <v>9076.18</v>
      </c>
      <c r="AH226" s="50">
        <v>1.78905</v>
      </c>
      <c r="AI226" s="6"/>
      <c r="AJ226" s="52"/>
    </row>
    <row x14ac:dyDescent="0.25" r="227" customHeight="1" ht="17.25">
      <c r="A227" s="11">
        <v>9315.78</v>
      </c>
      <c r="B227" s="50">
        <v>1.807365</v>
      </c>
      <c r="C227" s="51">
        <v>9312.84</v>
      </c>
      <c r="D227" s="50">
        <v>1.78447</v>
      </c>
      <c r="E227" s="51">
        <v>9311.86</v>
      </c>
      <c r="F227" s="50">
        <v>1.7927775000000001</v>
      </c>
      <c r="G227" s="51">
        <v>9314.15</v>
      </c>
      <c r="H227" s="50">
        <v>1.7966224999999998</v>
      </c>
      <c r="I227" s="51">
        <v>9313.55</v>
      </c>
      <c r="J227" s="50">
        <v>1.7961999999999998</v>
      </c>
      <c r="K227" s="51">
        <v>9314.82</v>
      </c>
      <c r="L227" s="50">
        <v>1.7919225</v>
      </c>
      <c r="M227" s="6"/>
      <c r="N227" s="52"/>
      <c r="O227" s="51">
        <v>9313.87</v>
      </c>
      <c r="P227" s="50">
        <v>1.79392</v>
      </c>
      <c r="Q227" s="6"/>
      <c r="R227" s="52"/>
      <c r="S227" s="6"/>
      <c r="T227" s="52"/>
      <c r="U227" s="51">
        <v>9313.54</v>
      </c>
      <c r="V227" s="50">
        <v>1.7958950000000002</v>
      </c>
      <c r="W227" s="6"/>
      <c r="X227" s="52"/>
      <c r="Y227" s="6"/>
      <c r="Z227" s="52"/>
      <c r="AA227" s="51">
        <v>9315.33</v>
      </c>
      <c r="AB227" s="50">
        <v>1.7902274999999999</v>
      </c>
      <c r="AC227" s="6"/>
      <c r="AD227" s="52"/>
      <c r="AE227" s="6"/>
      <c r="AF227" s="52"/>
      <c r="AG227" s="51">
        <v>9321.53</v>
      </c>
      <c r="AH227" s="50">
        <v>1.79456</v>
      </c>
      <c r="AI227" s="6"/>
      <c r="AJ227" s="52"/>
    </row>
    <row x14ac:dyDescent="0.25" r="228" customHeight="1" ht="17.25">
      <c r="A228" s="11">
        <v>9561.02</v>
      </c>
      <c r="B228" s="50">
        <v>1.8125250000000002</v>
      </c>
      <c r="C228" s="51">
        <v>9558.12</v>
      </c>
      <c r="D228" s="50">
        <v>1.7898100000000001</v>
      </c>
      <c r="E228" s="51">
        <v>9556.99</v>
      </c>
      <c r="F228" s="50">
        <v>1.7980275000000001</v>
      </c>
      <c r="G228" s="51">
        <v>9559.01</v>
      </c>
      <c r="H228" s="50">
        <v>1.8018125</v>
      </c>
      <c r="I228" s="51">
        <v>9558.85</v>
      </c>
      <c r="J228" s="50">
        <v>1.80151</v>
      </c>
      <c r="K228" s="51">
        <v>9559.85</v>
      </c>
      <c r="L228" s="50">
        <v>1.7972025</v>
      </c>
      <c r="M228" s="6"/>
      <c r="N228" s="52"/>
      <c r="O228" s="51">
        <v>9559.06</v>
      </c>
      <c r="P228" s="50">
        <v>1.79923</v>
      </c>
      <c r="Q228" s="6"/>
      <c r="R228" s="52"/>
      <c r="S228" s="6"/>
      <c r="T228" s="52"/>
      <c r="U228" s="51">
        <v>9558.6</v>
      </c>
      <c r="V228" s="50">
        <v>1.8011949999999999</v>
      </c>
      <c r="W228" s="6"/>
      <c r="X228" s="52"/>
      <c r="Y228" s="6"/>
      <c r="Z228" s="52"/>
      <c r="AA228" s="51">
        <v>9560.72</v>
      </c>
      <c r="AB228" s="50">
        <v>1.7956275</v>
      </c>
      <c r="AC228" s="6"/>
      <c r="AD228" s="52"/>
      <c r="AE228" s="6"/>
      <c r="AF228" s="52"/>
      <c r="AG228" s="51">
        <v>9566.78</v>
      </c>
      <c r="AH228" s="50">
        <v>1.80002</v>
      </c>
      <c r="AI228" s="6"/>
      <c r="AJ228" s="52"/>
    </row>
    <row x14ac:dyDescent="0.25" r="229" customHeight="1" ht="17.25">
      <c r="A229" s="11">
        <v>9806.15</v>
      </c>
      <c r="B229" s="50">
        <v>1.8177450000000002</v>
      </c>
      <c r="C229" s="51">
        <v>9803.03</v>
      </c>
      <c r="D229" s="50">
        <v>1.79504</v>
      </c>
      <c r="E229" s="51">
        <v>9802.04</v>
      </c>
      <c r="F229" s="50">
        <v>1.8032675</v>
      </c>
      <c r="G229" s="51">
        <v>9804.4</v>
      </c>
      <c r="H229" s="50">
        <v>1.8069525</v>
      </c>
      <c r="I229" s="51">
        <v>9803.97</v>
      </c>
      <c r="J229" s="50">
        <v>1.80669</v>
      </c>
      <c r="K229" s="51">
        <v>9805.02</v>
      </c>
      <c r="L229" s="50">
        <v>1.8024025000000001</v>
      </c>
      <c r="M229" s="6"/>
      <c r="N229" s="52"/>
      <c r="O229" s="51">
        <v>9804.35</v>
      </c>
      <c r="P229" s="50">
        <v>1.80444</v>
      </c>
      <c r="Q229" s="6"/>
      <c r="R229" s="52"/>
      <c r="S229" s="6"/>
      <c r="T229" s="52"/>
      <c r="U229" s="51">
        <v>9803.77</v>
      </c>
      <c r="V229" s="50">
        <v>1.8063950000000002</v>
      </c>
      <c r="W229" s="6"/>
      <c r="X229" s="52"/>
      <c r="Y229" s="6"/>
      <c r="Z229" s="52"/>
      <c r="AA229" s="51">
        <v>9805.8</v>
      </c>
      <c r="AB229" s="50">
        <v>1.8009175</v>
      </c>
      <c r="AC229" s="6"/>
      <c r="AD229" s="52"/>
      <c r="AE229" s="6"/>
      <c r="AF229" s="52"/>
      <c r="AG229" s="51">
        <v>9812.14</v>
      </c>
      <c r="AH229" s="50">
        <v>1.80536</v>
      </c>
      <c r="AI229" s="6"/>
      <c r="AJ229" s="52"/>
    </row>
    <row x14ac:dyDescent="0.25" r="230" customHeight="1" ht="17.25">
      <c r="A230" s="11">
        <v>10051.4</v>
      </c>
      <c r="B230" s="50">
        <v>1.822765</v>
      </c>
      <c r="C230" s="51">
        <v>10048</v>
      </c>
      <c r="D230" s="50">
        <v>1.80016</v>
      </c>
      <c r="E230" s="51">
        <v>10047</v>
      </c>
      <c r="F230" s="50">
        <v>1.8083775</v>
      </c>
      <c r="G230" s="51">
        <v>10049.5</v>
      </c>
      <c r="H230" s="50">
        <v>1.8119725</v>
      </c>
      <c r="I230" s="51">
        <v>10048.8</v>
      </c>
      <c r="J230" s="50">
        <v>1.81189</v>
      </c>
      <c r="K230" s="51">
        <v>10050.1</v>
      </c>
      <c r="L230" s="50">
        <v>1.8074525000000001</v>
      </c>
      <c r="M230" s="6"/>
      <c r="N230" s="52"/>
      <c r="O230" s="51">
        <v>10049.2</v>
      </c>
      <c r="P230" s="50">
        <v>1.80953</v>
      </c>
      <c r="Q230" s="6"/>
      <c r="R230" s="52"/>
      <c r="S230" s="6"/>
      <c r="T230" s="52"/>
      <c r="U230" s="51">
        <v>10048.9</v>
      </c>
      <c r="V230" s="50">
        <v>1.811445</v>
      </c>
      <c r="W230" s="6"/>
      <c r="X230" s="52"/>
      <c r="Y230" s="6"/>
      <c r="Z230" s="52"/>
      <c r="AA230" s="51">
        <v>10051.1</v>
      </c>
      <c r="AB230" s="50">
        <v>1.8060574999999999</v>
      </c>
      <c r="AC230" s="6"/>
      <c r="AD230" s="52"/>
      <c r="AE230" s="6"/>
      <c r="AF230" s="52"/>
      <c r="AG230" s="51">
        <v>10057.5</v>
      </c>
      <c r="AH230" s="50">
        <v>1.81051</v>
      </c>
      <c r="AI230" s="6"/>
      <c r="AJ230" s="52"/>
    </row>
    <row x14ac:dyDescent="0.25" r="231" customHeight="1" ht="17.25">
      <c r="A231" s="11">
        <v>10296.5</v>
      </c>
      <c r="B231" s="50">
        <v>1.827695</v>
      </c>
      <c r="C231" s="51">
        <v>10293.3</v>
      </c>
      <c r="D231" s="50">
        <v>1.8051300000000001</v>
      </c>
      <c r="E231" s="51">
        <v>10292.2</v>
      </c>
      <c r="F231" s="50">
        <v>1.8134075</v>
      </c>
      <c r="G231" s="51">
        <v>10294.6</v>
      </c>
      <c r="H231" s="50">
        <v>1.8169225</v>
      </c>
      <c r="I231" s="51">
        <v>10294.2</v>
      </c>
      <c r="J231" s="50">
        <v>1.81693</v>
      </c>
      <c r="K231" s="51">
        <v>10295.3</v>
      </c>
      <c r="L231" s="50">
        <v>1.8125225</v>
      </c>
      <c r="M231" s="6"/>
      <c r="N231" s="52"/>
      <c r="O231" s="51">
        <v>10294.4</v>
      </c>
      <c r="P231" s="50">
        <v>1.81457</v>
      </c>
      <c r="Q231" s="6"/>
      <c r="R231" s="52"/>
      <c r="S231" s="6"/>
      <c r="T231" s="52"/>
      <c r="U231" s="51">
        <v>10293.8</v>
      </c>
      <c r="V231" s="50">
        <v>1.816525</v>
      </c>
      <c r="W231" s="6"/>
      <c r="X231" s="52"/>
      <c r="Y231" s="6"/>
      <c r="Z231" s="52"/>
      <c r="AA231" s="51">
        <v>10296.1</v>
      </c>
      <c r="AB231" s="50">
        <v>1.8110975</v>
      </c>
      <c r="AC231" s="6"/>
      <c r="AD231" s="52"/>
      <c r="AE231" s="6"/>
      <c r="AF231" s="52"/>
      <c r="AG231" s="51">
        <v>10302.9</v>
      </c>
      <c r="AH231" s="50">
        <v>1.8155999999999999</v>
      </c>
      <c r="AI231" s="6"/>
      <c r="AJ231" s="52"/>
    </row>
    <row x14ac:dyDescent="0.25" r="232" customHeight="1" ht="17.25">
      <c r="A232" s="11">
        <v>10541.8</v>
      </c>
      <c r="B232" s="50">
        <v>1.832645</v>
      </c>
      <c r="C232" s="51">
        <v>10538.3</v>
      </c>
      <c r="D232" s="50">
        <v>1.80992</v>
      </c>
      <c r="E232" s="51">
        <v>10537.1</v>
      </c>
      <c r="F232" s="50">
        <v>1.8183475</v>
      </c>
      <c r="G232" s="51">
        <v>10539.7</v>
      </c>
      <c r="H232" s="50">
        <v>1.8217925</v>
      </c>
      <c r="I232" s="51">
        <v>10539.2</v>
      </c>
      <c r="J232" s="50">
        <v>1.82189</v>
      </c>
      <c r="K232" s="51">
        <v>10540.4</v>
      </c>
      <c r="L232" s="50">
        <v>1.8174125</v>
      </c>
      <c r="M232" s="6"/>
      <c r="N232" s="52"/>
      <c r="O232" s="51">
        <v>10539.3</v>
      </c>
      <c r="P232" s="50">
        <v>1.81958</v>
      </c>
      <c r="Q232" s="6"/>
      <c r="R232" s="52"/>
      <c r="S232" s="6"/>
      <c r="T232" s="52"/>
      <c r="U232" s="51">
        <v>10539.1</v>
      </c>
      <c r="V232" s="50">
        <v>1.821415</v>
      </c>
      <c r="W232" s="6"/>
      <c r="X232" s="52"/>
      <c r="Y232" s="6"/>
      <c r="Z232" s="52"/>
      <c r="AA232" s="51">
        <v>10541.5</v>
      </c>
      <c r="AB232" s="50">
        <v>1.8159975</v>
      </c>
      <c r="AC232" s="6"/>
      <c r="AD232" s="52"/>
      <c r="AE232" s="6"/>
      <c r="AF232" s="52"/>
      <c r="AG232" s="51">
        <v>10548.3</v>
      </c>
      <c r="AH232" s="50">
        <v>1.82056</v>
      </c>
      <c r="AI232" s="6"/>
      <c r="AJ232" s="52"/>
    </row>
    <row x14ac:dyDescent="0.25" r="233" customHeight="1" ht="17.25">
      <c r="A233" s="11">
        <v>10787.1</v>
      </c>
      <c r="B233" s="50">
        <v>1.837475</v>
      </c>
      <c r="C233" s="51">
        <v>10783.3</v>
      </c>
      <c r="D233" s="50">
        <v>1.81478</v>
      </c>
      <c r="E233" s="51">
        <v>10782.2</v>
      </c>
      <c r="F233" s="50">
        <v>1.8231375</v>
      </c>
      <c r="G233" s="51">
        <v>10784.9</v>
      </c>
      <c r="H233" s="50">
        <v>1.8264425000000002</v>
      </c>
      <c r="I233" s="51">
        <v>10784.1</v>
      </c>
      <c r="J233" s="50">
        <v>1.82663</v>
      </c>
      <c r="K233" s="51">
        <v>10785.6</v>
      </c>
      <c r="L233" s="50">
        <v>1.8222825</v>
      </c>
      <c r="M233" s="6"/>
      <c r="N233" s="52"/>
      <c r="O233" s="51">
        <v>10784.6</v>
      </c>
      <c r="P233" s="50">
        <v>1.8244500000000001</v>
      </c>
      <c r="Q233" s="6"/>
      <c r="R233" s="52"/>
      <c r="S233" s="6"/>
      <c r="T233" s="52"/>
      <c r="U233" s="51">
        <v>10784.1</v>
      </c>
      <c r="V233" s="50">
        <v>1.8263449999999999</v>
      </c>
      <c r="W233" s="6"/>
      <c r="X233" s="52"/>
      <c r="Y233" s="6"/>
      <c r="Z233" s="52"/>
      <c r="AA233" s="51">
        <v>10786.5</v>
      </c>
      <c r="AB233" s="50">
        <v>1.8209575</v>
      </c>
      <c r="AC233" s="6"/>
      <c r="AD233" s="52"/>
      <c r="AE233" s="6"/>
      <c r="AF233" s="52"/>
      <c r="AG233" s="51">
        <v>10793.7</v>
      </c>
      <c r="AH233" s="50">
        <v>1.82542</v>
      </c>
      <c r="AI233" s="6"/>
      <c r="AJ233" s="52"/>
    </row>
    <row x14ac:dyDescent="0.25" r="234" customHeight="1" ht="17.25">
      <c r="A234" s="11">
        <v>11032</v>
      </c>
      <c r="B234" s="50">
        <v>1.842125</v>
      </c>
      <c r="C234" s="51">
        <v>11028.4</v>
      </c>
      <c r="D234" s="50">
        <v>1.81943</v>
      </c>
      <c r="E234" s="51">
        <v>11027.3</v>
      </c>
      <c r="F234" s="50">
        <v>1.8280175</v>
      </c>
      <c r="G234" s="51">
        <v>11029.9</v>
      </c>
      <c r="H234" s="50">
        <v>1.8310325</v>
      </c>
      <c r="I234" s="51">
        <v>11029.3</v>
      </c>
      <c r="J234" s="50">
        <v>1.83143</v>
      </c>
      <c r="K234" s="51">
        <v>11030.8</v>
      </c>
      <c r="L234" s="50">
        <v>1.8269825</v>
      </c>
      <c r="M234" s="6"/>
      <c r="N234" s="52"/>
      <c r="O234" s="51">
        <v>11029.9</v>
      </c>
      <c r="P234" s="50">
        <v>1.82934</v>
      </c>
      <c r="Q234" s="6"/>
      <c r="R234" s="52"/>
      <c r="S234" s="6"/>
      <c r="T234" s="52"/>
      <c r="U234" s="51">
        <v>11029.3</v>
      </c>
      <c r="V234" s="50">
        <v>1.8312750000000002</v>
      </c>
      <c r="W234" s="6"/>
      <c r="X234" s="52"/>
      <c r="Y234" s="6"/>
      <c r="Z234" s="52"/>
      <c r="AA234" s="51">
        <v>11031.5</v>
      </c>
      <c r="AB234" s="50">
        <v>1.8256675</v>
      </c>
      <c r="AC234" s="6"/>
      <c r="AD234" s="52"/>
      <c r="AE234" s="6"/>
      <c r="AF234" s="52"/>
      <c r="AG234" s="51">
        <v>11038.7</v>
      </c>
      <c r="AH234" s="50">
        <v>1.83015</v>
      </c>
      <c r="AI234" s="6"/>
      <c r="AJ234" s="52"/>
    </row>
    <row x14ac:dyDescent="0.25" r="235" customHeight="1" ht="17.25">
      <c r="A235" s="11">
        <v>11277.5</v>
      </c>
      <c r="B235" s="50">
        <v>1.846705</v>
      </c>
      <c r="C235" s="51">
        <v>11273.6</v>
      </c>
      <c r="D235" s="50">
        <v>1.82403</v>
      </c>
      <c r="E235" s="51">
        <v>11272.6</v>
      </c>
      <c r="F235" s="50">
        <v>1.8325475</v>
      </c>
      <c r="G235" s="51">
        <v>11275.3</v>
      </c>
      <c r="H235" s="50">
        <v>1.8356425</v>
      </c>
      <c r="I235" s="51">
        <v>11274.6</v>
      </c>
      <c r="J235" s="50">
        <v>1.83604</v>
      </c>
      <c r="K235" s="51">
        <v>11275.8</v>
      </c>
      <c r="L235" s="50">
        <v>1.8316225</v>
      </c>
      <c r="M235" s="6"/>
      <c r="N235" s="52"/>
      <c r="O235" s="51">
        <v>11275.2</v>
      </c>
      <c r="P235" s="50">
        <v>1.83405</v>
      </c>
      <c r="Q235" s="6"/>
      <c r="R235" s="52"/>
      <c r="S235" s="6"/>
      <c r="T235" s="52"/>
      <c r="U235" s="51">
        <v>11274.3</v>
      </c>
      <c r="V235" s="50">
        <v>1.835905</v>
      </c>
      <c r="W235" s="6"/>
      <c r="X235" s="52"/>
      <c r="Y235" s="6"/>
      <c r="Z235" s="52"/>
      <c r="AA235" s="51">
        <v>11276.6</v>
      </c>
      <c r="AB235" s="50">
        <v>1.8302975</v>
      </c>
      <c r="AC235" s="6"/>
      <c r="AD235" s="52"/>
      <c r="AE235" s="6"/>
      <c r="AF235" s="52"/>
      <c r="AG235" s="51">
        <v>11284</v>
      </c>
      <c r="AH235" s="50">
        <v>1.83476</v>
      </c>
      <c r="AI235" s="6"/>
      <c r="AJ235" s="52"/>
    </row>
    <row x14ac:dyDescent="0.25" r="236" customHeight="1" ht="17.25">
      <c r="A236" s="11">
        <v>11522.6</v>
      </c>
      <c r="B236" s="50">
        <v>1.8512950000000001</v>
      </c>
      <c r="C236" s="51">
        <v>11518.4</v>
      </c>
      <c r="D236" s="50">
        <v>1.82852</v>
      </c>
      <c r="E236" s="51">
        <v>11517.4</v>
      </c>
      <c r="F236" s="50">
        <v>1.8371575</v>
      </c>
      <c r="G236" s="51">
        <v>11520.3</v>
      </c>
      <c r="H236" s="50">
        <v>1.8402224999999999</v>
      </c>
      <c r="I236" s="51">
        <v>11519.6</v>
      </c>
      <c r="J236" s="50">
        <v>1.84053</v>
      </c>
      <c r="K236" s="51">
        <v>11520.8</v>
      </c>
      <c r="L236" s="50">
        <v>1.8361825</v>
      </c>
      <c r="M236" s="6"/>
      <c r="N236" s="52"/>
      <c r="O236" s="51">
        <v>11520.4</v>
      </c>
      <c r="P236" s="50">
        <v>1.83875</v>
      </c>
      <c r="Q236" s="6"/>
      <c r="R236" s="52"/>
      <c r="S236" s="6"/>
      <c r="T236" s="52"/>
      <c r="U236" s="51">
        <v>11519.4</v>
      </c>
      <c r="V236" s="50">
        <v>1.8404950000000002</v>
      </c>
      <c r="W236" s="6"/>
      <c r="X236" s="52"/>
      <c r="Y236" s="6"/>
      <c r="Z236" s="52"/>
      <c r="AA236" s="51">
        <v>11521.7</v>
      </c>
      <c r="AB236" s="50">
        <v>1.8349575</v>
      </c>
      <c r="AC236" s="6"/>
      <c r="AD236" s="52"/>
      <c r="AE236" s="6"/>
      <c r="AF236" s="52"/>
      <c r="AG236" s="51">
        <v>11529.6</v>
      </c>
      <c r="AH236" s="50">
        <v>1.83946</v>
      </c>
      <c r="AI236" s="6"/>
      <c r="AJ236" s="52"/>
    </row>
    <row x14ac:dyDescent="0.25" r="237" customHeight="1" ht="17.25">
      <c r="A237" s="11">
        <v>11767.5</v>
      </c>
      <c r="B237" s="50">
        <v>1.855915</v>
      </c>
      <c r="C237" s="51">
        <v>11763.7</v>
      </c>
      <c r="D237" s="50">
        <v>1.8329900000000001</v>
      </c>
      <c r="E237" s="51">
        <v>11762.8</v>
      </c>
      <c r="F237" s="50">
        <v>1.8415975</v>
      </c>
      <c r="G237" s="51">
        <v>11765.6</v>
      </c>
      <c r="H237" s="50">
        <v>1.8446525</v>
      </c>
      <c r="I237" s="51">
        <v>11764.8</v>
      </c>
      <c r="J237" s="50">
        <v>1.845</v>
      </c>
      <c r="K237" s="51">
        <v>11766.1</v>
      </c>
      <c r="L237" s="50">
        <v>1.8406825</v>
      </c>
      <c r="M237" s="6"/>
      <c r="N237" s="52"/>
      <c r="O237" s="51">
        <v>11765.4</v>
      </c>
      <c r="P237" s="50">
        <v>1.84332</v>
      </c>
      <c r="Q237" s="6"/>
      <c r="R237" s="52"/>
      <c r="S237" s="6"/>
      <c r="T237" s="52"/>
      <c r="U237" s="51">
        <v>11764.7</v>
      </c>
      <c r="V237" s="50">
        <v>1.845065</v>
      </c>
      <c r="W237" s="6"/>
      <c r="X237" s="52"/>
      <c r="Y237" s="6"/>
      <c r="Z237" s="52"/>
      <c r="AA237" s="51">
        <v>11767</v>
      </c>
      <c r="AB237" s="50">
        <v>1.8394774999999999</v>
      </c>
      <c r="AC237" s="6"/>
      <c r="AD237" s="52"/>
      <c r="AE237" s="6"/>
      <c r="AF237" s="52"/>
      <c r="AG237" s="51">
        <v>11774.8</v>
      </c>
      <c r="AH237" s="50">
        <v>1.84401</v>
      </c>
      <c r="AI237" s="6"/>
      <c r="AJ237" s="52"/>
    </row>
    <row x14ac:dyDescent="0.25" r="238" customHeight="1" ht="17.25">
      <c r="A238" s="11">
        <v>12013.1</v>
      </c>
      <c r="B238" s="50">
        <v>1.860355</v>
      </c>
      <c r="C238" s="51">
        <v>12008.9</v>
      </c>
      <c r="D238" s="50">
        <v>1.83746</v>
      </c>
      <c r="E238" s="51">
        <v>12007.9</v>
      </c>
      <c r="F238" s="50">
        <v>1.8460075</v>
      </c>
      <c r="G238" s="51">
        <v>12010.6</v>
      </c>
      <c r="H238" s="50">
        <v>1.8490725000000001</v>
      </c>
      <c r="I238" s="51">
        <v>12009.8</v>
      </c>
      <c r="J238" s="50">
        <v>1.8495499999999998</v>
      </c>
      <c r="K238" s="51">
        <v>12011</v>
      </c>
      <c r="L238" s="50">
        <v>1.8451425000000001</v>
      </c>
      <c r="M238" s="6"/>
      <c r="N238" s="52"/>
      <c r="O238" s="51">
        <v>12010.5</v>
      </c>
      <c r="P238" s="50">
        <v>1.84781</v>
      </c>
      <c r="Q238" s="6"/>
      <c r="R238" s="52"/>
      <c r="S238" s="6"/>
      <c r="T238" s="52"/>
      <c r="U238" s="51">
        <v>12009.8</v>
      </c>
      <c r="V238" s="50">
        <v>1.849465</v>
      </c>
      <c r="W238" s="6"/>
      <c r="X238" s="52"/>
      <c r="Y238" s="6"/>
      <c r="Z238" s="52"/>
      <c r="AA238" s="51">
        <v>12012.1</v>
      </c>
      <c r="AB238" s="50">
        <v>1.8439975</v>
      </c>
      <c r="AC238" s="6"/>
      <c r="AD238" s="52"/>
      <c r="AE238" s="6"/>
      <c r="AF238" s="52"/>
      <c r="AG238" s="51">
        <v>12020</v>
      </c>
      <c r="AH238" s="50">
        <v>1.84846</v>
      </c>
      <c r="AI238" s="6"/>
      <c r="AJ238" s="52"/>
    </row>
    <row x14ac:dyDescent="0.25" r="239" customHeight="1" ht="17.25">
      <c r="A239" s="11">
        <v>12258.3</v>
      </c>
      <c r="B239" s="50">
        <v>1.864665</v>
      </c>
      <c r="C239" s="51">
        <v>12254.2</v>
      </c>
      <c r="D239" s="50">
        <v>1.8418700000000001</v>
      </c>
      <c r="E239" s="51">
        <v>12252.8</v>
      </c>
      <c r="F239" s="50">
        <v>1.8504675</v>
      </c>
      <c r="G239" s="51">
        <v>12255.9</v>
      </c>
      <c r="H239" s="50">
        <v>1.8533724999999999</v>
      </c>
      <c r="I239" s="51">
        <v>12255.1</v>
      </c>
      <c r="J239" s="50">
        <v>1.85388</v>
      </c>
      <c r="K239" s="51">
        <v>12256.3</v>
      </c>
      <c r="L239" s="50">
        <v>1.8495125000000001</v>
      </c>
      <c r="M239" s="6"/>
      <c r="N239" s="52"/>
      <c r="O239" s="51">
        <v>12255.8</v>
      </c>
      <c r="P239" s="50">
        <v>1.8523</v>
      </c>
      <c r="Q239" s="6"/>
      <c r="R239" s="52"/>
      <c r="S239" s="6"/>
      <c r="T239" s="52"/>
      <c r="U239" s="51">
        <v>12255</v>
      </c>
      <c r="V239" s="50">
        <v>1.853755</v>
      </c>
      <c r="W239" s="6"/>
      <c r="X239" s="52"/>
      <c r="Y239" s="6"/>
      <c r="Z239" s="52"/>
      <c r="AA239" s="51">
        <v>12257.3</v>
      </c>
      <c r="AB239" s="50">
        <v>1.8485475</v>
      </c>
      <c r="AC239" s="6"/>
      <c r="AD239" s="52"/>
      <c r="AE239" s="6"/>
      <c r="AF239" s="52"/>
      <c r="AG239" s="51">
        <v>12265.4</v>
      </c>
      <c r="AH239" s="50">
        <v>1.85294</v>
      </c>
      <c r="AI239" s="6"/>
      <c r="AJ239" s="52"/>
    </row>
    <row x14ac:dyDescent="0.25" r="240" customHeight="1" ht="17.25">
      <c r="A240" s="11">
        <v>14348.5</v>
      </c>
      <c r="B240" s="50">
        <v>1.8994950000000002</v>
      </c>
      <c r="C240" s="51">
        <v>14343.6</v>
      </c>
      <c r="D240" s="50">
        <v>1.8763400000000001</v>
      </c>
      <c r="E240" s="51">
        <v>14342.3</v>
      </c>
      <c r="F240" s="50">
        <v>1.8854975</v>
      </c>
      <c r="G240" s="51">
        <v>14345.9</v>
      </c>
      <c r="H240" s="50">
        <v>1.8882525000000001</v>
      </c>
      <c r="I240" s="51">
        <v>14345</v>
      </c>
      <c r="J240" s="50">
        <v>1.8888399999999999</v>
      </c>
      <c r="K240" s="51">
        <v>14346.4</v>
      </c>
      <c r="L240" s="50">
        <v>1.8842325</v>
      </c>
      <c r="M240" s="6"/>
      <c r="N240" s="52"/>
      <c r="O240" s="51">
        <v>14345.4</v>
      </c>
      <c r="P240" s="50">
        <v>1.88718</v>
      </c>
      <c r="Q240" s="6"/>
      <c r="R240" s="52"/>
      <c r="S240" s="6"/>
      <c r="T240" s="52"/>
      <c r="U240" s="51">
        <v>14344.8</v>
      </c>
      <c r="V240" s="50">
        <v>1.8885550000000002</v>
      </c>
      <c r="W240" s="6"/>
      <c r="X240" s="52"/>
      <c r="Y240" s="6"/>
      <c r="Z240" s="52"/>
      <c r="AA240" s="51">
        <v>14347.5</v>
      </c>
      <c r="AB240" s="50">
        <v>1.8836675</v>
      </c>
      <c r="AC240" s="6"/>
      <c r="AD240" s="52"/>
      <c r="AE240" s="6"/>
      <c r="AF240" s="52"/>
      <c r="AG240" s="51">
        <v>14356.9</v>
      </c>
      <c r="AH240" s="50">
        <v>1.88815</v>
      </c>
      <c r="AI240" s="6"/>
      <c r="AJ240" s="52"/>
    </row>
    <row x14ac:dyDescent="0.25" r="241" customHeight="1" ht="17.25">
      <c r="A241" s="11">
        <v>16220.4</v>
      </c>
      <c r="B241" s="50">
        <v>1.9276250000000001</v>
      </c>
      <c r="C241" s="51">
        <v>16214.5</v>
      </c>
      <c r="D241" s="50">
        <v>1.90402</v>
      </c>
      <c r="E241" s="51">
        <v>16213.2</v>
      </c>
      <c r="F241" s="50">
        <v>1.9135275</v>
      </c>
      <c r="G241" s="51">
        <v>16217.1</v>
      </c>
      <c r="H241" s="50">
        <v>1.9160724999999998</v>
      </c>
      <c r="I241" s="51">
        <v>16216</v>
      </c>
      <c r="J241" s="50">
        <v>1.9167999999999998</v>
      </c>
      <c r="K241" s="51">
        <v>16218</v>
      </c>
      <c r="L241" s="50">
        <v>1.9121225</v>
      </c>
      <c r="M241" s="6"/>
      <c r="N241" s="52"/>
      <c r="O241" s="51">
        <v>16217</v>
      </c>
      <c r="P241" s="50">
        <v>1.91533</v>
      </c>
      <c r="Q241" s="6"/>
      <c r="R241" s="52"/>
      <c r="S241" s="6"/>
      <c r="T241" s="52"/>
      <c r="U241" s="51">
        <v>16216.2</v>
      </c>
      <c r="V241" s="50">
        <v>1.9164249999999998</v>
      </c>
      <c r="W241" s="6"/>
      <c r="X241" s="52"/>
      <c r="Y241" s="6"/>
      <c r="Z241" s="52"/>
      <c r="AA241" s="51">
        <v>16219</v>
      </c>
      <c r="AB241" s="50">
        <v>1.9119975</v>
      </c>
      <c r="AC241" s="6"/>
      <c r="AD241" s="52"/>
      <c r="AE241" s="6"/>
      <c r="AF241" s="52"/>
      <c r="AG241" s="51">
        <v>16230</v>
      </c>
      <c r="AH241" s="50">
        <v>1.91642</v>
      </c>
      <c r="AI241" s="6"/>
      <c r="AJ241" s="52"/>
    </row>
    <row x14ac:dyDescent="0.25" r="242" customHeight="1" ht="17.25">
      <c r="A242" s="18">
        <v>19340.1</v>
      </c>
      <c r="B242" s="53">
        <v>1.9689050000000001</v>
      </c>
      <c r="C242" s="54">
        <v>19333.3</v>
      </c>
      <c r="D242" s="53">
        <v>1.94492</v>
      </c>
      <c r="E242" s="54">
        <v>19331.2</v>
      </c>
      <c r="F242" s="53">
        <v>1.9548875000000001</v>
      </c>
      <c r="G242" s="54">
        <v>19335.9</v>
      </c>
      <c r="H242" s="53">
        <v>1.9572325</v>
      </c>
      <c r="I242" s="54">
        <v>19334</v>
      </c>
      <c r="J242" s="53">
        <v>1.95794</v>
      </c>
      <c r="K242" s="54">
        <v>19337.5</v>
      </c>
      <c r="L242" s="53">
        <v>1.9533725</v>
      </c>
      <c r="M242" s="55"/>
      <c r="N242" s="56"/>
      <c r="O242" s="54">
        <v>19335.5</v>
      </c>
      <c r="P242" s="53">
        <v>1.95687</v>
      </c>
      <c r="Q242" s="55"/>
      <c r="R242" s="56"/>
      <c r="S242" s="55"/>
      <c r="T242" s="56"/>
      <c r="U242" s="54">
        <v>19334.5</v>
      </c>
      <c r="V242" s="53">
        <v>1.9576350000000002</v>
      </c>
      <c r="W242" s="55"/>
      <c r="X242" s="56"/>
      <c r="Y242" s="55"/>
      <c r="Z242" s="56"/>
      <c r="AA242" s="54">
        <v>19337.9</v>
      </c>
      <c r="AB242" s="53">
        <v>1.9535175</v>
      </c>
      <c r="AC242" s="55"/>
      <c r="AD242" s="56"/>
      <c r="AE242" s="55"/>
      <c r="AF242" s="56"/>
      <c r="AG242" s="54">
        <v>19351</v>
      </c>
      <c r="AH242" s="53">
        <v>1.95803</v>
      </c>
      <c r="AI242" s="55"/>
      <c r="AJ242" s="56"/>
    </row>
    <row x14ac:dyDescent="0.25" r="243" customHeight="1" ht="17.25">
      <c r="A243" s="33"/>
      <c r="B243" s="31"/>
      <c r="C243" s="31"/>
      <c r="D243" s="57"/>
      <c r="E243" s="31"/>
      <c r="F243" s="31"/>
      <c r="G243" s="31"/>
      <c r="H243" s="32"/>
      <c r="I243" s="33"/>
      <c r="J243" s="32"/>
      <c r="K243" s="33"/>
      <c r="L243" s="32"/>
      <c r="M243" s="30"/>
      <c r="N243" s="30"/>
      <c r="O243" s="31"/>
      <c r="P243" s="57"/>
      <c r="Q243" s="30"/>
      <c r="R243" s="31"/>
      <c r="S243" s="30"/>
      <c r="T243" s="30"/>
      <c r="U243" s="33"/>
      <c r="V243" s="32"/>
      <c r="W243" s="30"/>
      <c r="X243" s="30"/>
      <c r="Y243" s="30"/>
      <c r="Z243" s="30"/>
      <c r="AA243" s="31"/>
      <c r="AB243" s="57"/>
      <c r="AC243" s="30"/>
      <c r="AD243" s="31"/>
      <c r="AE243" s="30"/>
      <c r="AF243" s="30"/>
      <c r="AG243" s="33"/>
      <c r="AH243" s="32"/>
      <c r="AI243" s="30"/>
      <c r="AJ243" s="30"/>
    </row>
    <row x14ac:dyDescent="0.25" r="244" customHeight="1" ht="17.25">
      <c r="A244" s="4" t="s">
        <v>36</v>
      </c>
      <c r="B244" s="58"/>
      <c r="C244" s="58"/>
      <c r="D244" s="58"/>
      <c r="E244" s="58"/>
      <c r="F244" s="58"/>
      <c r="G244" s="43"/>
      <c r="H244" s="32"/>
      <c r="I244" s="33"/>
      <c r="J244" s="32"/>
      <c r="K244" s="33"/>
      <c r="L244" s="32"/>
      <c r="M244" s="44" t="s">
        <v>36</v>
      </c>
      <c r="N244" s="59"/>
      <c r="O244" s="58"/>
      <c r="P244" s="60"/>
      <c r="Q244" s="59"/>
      <c r="R244" s="58"/>
      <c r="S244" s="45"/>
      <c r="T244" s="30"/>
      <c r="U244" s="33"/>
      <c r="V244" s="32"/>
      <c r="W244" s="30"/>
      <c r="X244" s="30"/>
      <c r="Y244" s="44" t="s">
        <v>36</v>
      </c>
      <c r="Z244" s="59"/>
      <c r="AA244" s="58"/>
      <c r="AB244" s="60"/>
      <c r="AC244" s="59"/>
      <c r="AD244" s="58"/>
      <c r="AE244" s="45"/>
      <c r="AF244" s="30"/>
      <c r="AG244" s="33"/>
      <c r="AH244" s="32"/>
      <c r="AI244" s="30"/>
      <c r="AJ244" s="30"/>
    </row>
    <row x14ac:dyDescent="0.25" r="245" customHeight="1" ht="17.25">
      <c r="A245" s="61"/>
      <c r="B245" s="58" t="s">
        <v>37</v>
      </c>
      <c r="C245" s="58" t="s">
        <v>38</v>
      </c>
      <c r="D245" s="58" t="s">
        <v>39</v>
      </c>
      <c r="E245" s="58" t="s">
        <v>40</v>
      </c>
      <c r="F245" s="58" t="s">
        <v>41</v>
      </c>
      <c r="G245" s="43" t="s">
        <v>42</v>
      </c>
      <c r="H245" s="32"/>
      <c r="I245" s="33"/>
      <c r="J245" s="32"/>
      <c r="K245" s="33"/>
      <c r="L245" s="32"/>
      <c r="M245" s="62"/>
      <c r="N245" s="59" t="s">
        <v>43</v>
      </c>
      <c r="O245" s="58" t="s">
        <v>44</v>
      </c>
      <c r="P245" s="60" t="s">
        <v>45</v>
      </c>
      <c r="Q245" s="59" t="s">
        <v>46</v>
      </c>
      <c r="R245" s="58" t="s">
        <v>47</v>
      </c>
      <c r="S245" s="45" t="s">
        <v>48</v>
      </c>
      <c r="T245" s="30"/>
      <c r="U245" s="33"/>
      <c r="V245" s="32"/>
      <c r="W245" s="30"/>
      <c r="X245" s="30"/>
      <c r="Y245" s="62"/>
      <c r="Z245" s="59" t="s">
        <v>49</v>
      </c>
      <c r="AA245" s="58" t="s">
        <v>50</v>
      </c>
      <c r="AB245" s="60" t="s">
        <v>51</v>
      </c>
      <c r="AC245" s="59" t="s">
        <v>52</v>
      </c>
      <c r="AD245" s="58" t="s">
        <v>53</v>
      </c>
      <c r="AE245" s="45" t="s">
        <v>54</v>
      </c>
      <c r="AF245" s="30"/>
      <c r="AG245" s="33"/>
      <c r="AH245" s="32"/>
      <c r="AI245" s="30"/>
      <c r="AJ245" s="30"/>
    </row>
    <row x14ac:dyDescent="0.25" r="246" customHeight="1" ht="17.25">
      <c r="A246" s="63" t="s">
        <v>55</v>
      </c>
      <c r="B246" s="15">
        <f>0.5*_xlfn.FORECAST.LINEAR(0,A189:A190,B189:B190)-0.5*_xlfn.FORECAST.LINEAR(0,A71:A72,B71:B72)</f>
      </c>
      <c r="C246" s="15">
        <f>0.5*_xlfn.FORECAST.LINEAR(0,C189:C190,D189:D190)-0.5*_xlfn.FORECAST.LINEAR(0,C71:C72,D71:D72)</f>
      </c>
      <c r="D246" s="15">
        <f>0.5*_xlfn.FORECAST.LINEAR(0,E189:E190,F189:F190)-0.5*_xlfn.FORECAST.LINEAR(0,E71:E72,F71:F72)</f>
      </c>
      <c r="E246" s="15">
        <f>0.5*_xlfn.FORECAST.LINEAR(0,G189:G190,H189:H190)-0.5*_xlfn.FORECAST.LINEAR(0,G71:G72,H71:H72)</f>
      </c>
      <c r="F246" s="15">
        <f>0.5*_xlfn.FORECAST.LINEAR(0,I189:I190,J189:J190)-0.5*_xlfn.FORECAST.LINEAR(0,I71:I72,J71:J72)</f>
      </c>
      <c r="G246" s="12">
        <f>0.5*_xlfn.FORECAST.LINEAR(0,K189:K190,L189:L190)-0.5*_xlfn.FORECAST.LINEAR(0,K71:K72,L71:L72)</f>
      </c>
      <c r="H246" s="32"/>
      <c r="I246" s="33"/>
      <c r="J246" s="32"/>
      <c r="K246" s="33"/>
      <c r="L246" s="32"/>
      <c r="M246" s="64" t="s">
        <v>55</v>
      </c>
      <c r="N246" s="15"/>
      <c r="O246" s="15">
        <f>0.5*_xlfn.FORECAST.LINEAR(0,O189:O190,P189:P190)-0.5*_xlfn.FORECAST.LINEAR(0,O71:O72,P71:P72)</f>
      </c>
      <c r="P246" s="15"/>
      <c r="Q246" s="15"/>
      <c r="R246" s="15">
        <f>0.5*_xlfn.FORECAST.LINEAR(0,U189:U190,V189:V190)-0.5*_xlfn.FORECAST.LINEAR(0,U71:U72,V71:V72)</f>
      </c>
      <c r="S246" s="12"/>
      <c r="T246" s="30"/>
      <c r="U246" s="33"/>
      <c r="V246" s="32"/>
      <c r="W246" s="30"/>
      <c r="X246" s="30"/>
      <c r="Y246" s="64" t="s">
        <v>55</v>
      </c>
      <c r="Z246" s="15"/>
      <c r="AA246" s="15">
        <f>0.5*_xlfn.FORECAST.LINEAR(0,AA189:AA190,AB189:AB190)-0.5*_xlfn.FORECAST.LINEAR(0,AA71:AA72,AB71:AB72)</f>
      </c>
      <c r="AB246" s="15"/>
      <c r="AC246" s="15"/>
      <c r="AD246" s="15">
        <f>0.5*_xlfn.FORECAST.LINEAR(0,AG189:AG190,AH189:AH190)-0.5*_xlfn.FORECAST.LINEAR(0,AG71:AG72,AH71:AH72)</f>
      </c>
      <c r="AE246" s="12"/>
      <c r="AF246" s="30"/>
      <c r="AG246" s="33"/>
      <c r="AH246" s="32"/>
      <c r="AI246" s="30"/>
      <c r="AJ246" s="30"/>
    </row>
    <row x14ac:dyDescent="0.25" r="247" customHeight="1" ht="17.25">
      <c r="A247" s="65" t="s">
        <v>56</v>
      </c>
      <c r="B247" s="66">
        <f>B65*0.5-B183*0.5</f>
      </c>
      <c r="C247" s="66">
        <f>D65*0.5-D183*0.5</f>
      </c>
      <c r="D247" s="66">
        <f>F65*0.5-F183*0.5</f>
      </c>
      <c r="E247" s="66">
        <f>H65*0.5-H183*0.5</f>
      </c>
      <c r="F247" s="66">
        <f>J65*0.5-J183*0.5</f>
      </c>
      <c r="G247" s="67">
        <f>L65*0.5-L183*0.5</f>
      </c>
      <c r="H247" s="32"/>
      <c r="I247" s="33"/>
      <c r="J247" s="32"/>
      <c r="K247" s="33"/>
      <c r="L247" s="32"/>
      <c r="M247" s="68" t="s">
        <v>56</v>
      </c>
      <c r="N247" s="66"/>
      <c r="O247" s="66">
        <f>P65*0.5-P183*0.5</f>
      </c>
      <c r="P247" s="66"/>
      <c r="Q247" s="66"/>
      <c r="R247" s="66">
        <f>V65*0.5-V183*0.5</f>
      </c>
      <c r="S247" s="67"/>
      <c r="T247" s="30"/>
      <c r="U247" s="33"/>
      <c r="V247" s="32"/>
      <c r="W247" s="30"/>
      <c r="X247" s="30"/>
      <c r="Y247" s="68" t="s">
        <v>56</v>
      </c>
      <c r="Z247" s="66"/>
      <c r="AA247" s="66">
        <f>AB65*0.5-AB183*0.5</f>
      </c>
      <c r="AB247" s="66"/>
      <c r="AC247" s="66"/>
      <c r="AD247" s="66">
        <f>AH65*0.5-AH183*0.5</f>
      </c>
      <c r="AE247" s="67"/>
      <c r="AF247" s="30"/>
      <c r="AG247" s="33"/>
      <c r="AH247" s="32"/>
      <c r="AI247" s="30"/>
      <c r="AJ247" s="30"/>
    </row>
    <row x14ac:dyDescent="0.25" r="248" customHeight="1" ht="17.25">
      <c r="A248" s="33"/>
      <c r="B248" s="31"/>
      <c r="C248" s="31"/>
      <c r="D248" s="31"/>
      <c r="E248" s="31"/>
      <c r="F248" s="31"/>
      <c r="G248" s="31"/>
      <c r="H248" s="32"/>
      <c r="I248" s="33"/>
      <c r="J248" s="32"/>
      <c r="K248" s="33"/>
      <c r="L248" s="32"/>
      <c r="M248" s="30"/>
      <c r="N248" s="30"/>
      <c r="O248" s="31"/>
      <c r="P248" s="32"/>
      <c r="Q248" s="30"/>
      <c r="R248" s="31"/>
      <c r="S248" s="30"/>
      <c r="T248" s="30"/>
      <c r="U248" s="33"/>
      <c r="V248" s="32"/>
      <c r="W248" s="30"/>
      <c r="X248" s="30"/>
      <c r="Y248" s="30"/>
      <c r="Z248" s="30"/>
      <c r="AA248" s="31"/>
      <c r="AB248" s="32"/>
      <c r="AC248" s="30"/>
      <c r="AD248" s="31"/>
      <c r="AE248" s="30"/>
      <c r="AF248" s="30"/>
      <c r="AG248" s="33"/>
      <c r="AH248" s="32"/>
      <c r="AI248" s="30"/>
      <c r="AJ248" s="30"/>
    </row>
    <row x14ac:dyDescent="0.25" r="249" customHeight="1" ht="17.25">
      <c r="A249" s="33"/>
      <c r="B249" s="31"/>
      <c r="C249" s="31"/>
      <c r="D249" s="57"/>
      <c r="E249" s="31"/>
      <c r="F249" s="31"/>
      <c r="G249" s="31"/>
      <c r="H249" s="32"/>
      <c r="I249" s="33"/>
      <c r="J249" s="32"/>
      <c r="K249" s="33"/>
      <c r="L249" s="32"/>
      <c r="M249" s="30"/>
      <c r="N249" s="30"/>
      <c r="O249" s="31"/>
      <c r="P249" s="32"/>
      <c r="Q249" s="30"/>
      <c r="R249" s="31"/>
      <c r="S249" s="30"/>
      <c r="T249" s="30"/>
      <c r="U249" s="33"/>
      <c r="V249" s="32"/>
      <c r="W249" s="30"/>
      <c r="X249" s="30"/>
      <c r="Y249" s="30"/>
      <c r="Z249" s="30"/>
      <c r="AA249" s="31"/>
      <c r="AB249" s="32"/>
      <c r="AC249" s="30"/>
      <c r="AD249" s="31"/>
      <c r="AE249" s="30"/>
      <c r="AF249" s="30"/>
      <c r="AG249" s="33"/>
      <c r="AH249" s="32"/>
      <c r="AI249" s="30"/>
      <c r="AJ249" s="30"/>
    </row>
    <row x14ac:dyDescent="0.25" r="250" customHeight="1" ht="17.25">
      <c r="A250" s="33"/>
      <c r="B250" s="31"/>
      <c r="C250" s="31"/>
      <c r="D250" s="31"/>
      <c r="E250" s="31"/>
      <c r="F250" s="31"/>
      <c r="G250" s="31"/>
      <c r="H250" s="32"/>
      <c r="I250" s="33"/>
      <c r="J250" s="32"/>
      <c r="K250" s="33"/>
      <c r="L250" s="32"/>
      <c r="M250" s="30"/>
      <c r="N250" s="30"/>
      <c r="O250" s="31"/>
      <c r="P250" s="32"/>
      <c r="Q250" s="30"/>
      <c r="R250" s="31"/>
      <c r="S250" s="30"/>
      <c r="T250" s="30"/>
      <c r="U250" s="33"/>
      <c r="V250" s="32"/>
      <c r="W250" s="30"/>
      <c r="X250" s="30"/>
      <c r="Y250" s="30"/>
      <c r="Z250" s="30"/>
      <c r="AA250" s="31"/>
      <c r="AB250" s="32"/>
      <c r="AC250" s="30"/>
      <c r="AD250" s="31"/>
      <c r="AE250" s="30"/>
      <c r="AF250" s="30"/>
      <c r="AG250" s="33"/>
      <c r="AH250" s="32"/>
      <c r="AI250" s="30"/>
      <c r="AJ250" s="30"/>
    </row>
    <row x14ac:dyDescent="0.25" r="251" customHeight="1" ht="17.25">
      <c r="A251" s="33"/>
      <c r="B251" s="69"/>
      <c r="C251" s="31"/>
      <c r="D251" s="70"/>
      <c r="E251" s="31"/>
      <c r="F251" s="31"/>
      <c r="G251" s="31"/>
      <c r="H251" s="32"/>
      <c r="I251" s="33"/>
      <c r="J251" s="32"/>
      <c r="K251" s="33"/>
      <c r="L251" s="32"/>
      <c r="M251" s="30"/>
      <c r="N251" s="30"/>
      <c r="O251" s="31"/>
      <c r="P251" s="32"/>
      <c r="Q251" s="30"/>
      <c r="R251" s="31"/>
      <c r="S251" s="30"/>
      <c r="T251" s="30"/>
      <c r="U251" s="33"/>
      <c r="V251" s="32"/>
      <c r="W251" s="30"/>
      <c r="X251" s="30"/>
      <c r="Y251" s="30"/>
      <c r="Z251" s="30"/>
      <c r="AA251" s="31"/>
      <c r="AB251" s="32"/>
      <c r="AC251" s="30"/>
      <c r="AD251" s="31"/>
      <c r="AE251" s="30"/>
      <c r="AF251" s="30"/>
      <c r="AG251" s="33"/>
      <c r="AH251" s="32"/>
      <c r="AI251" s="30"/>
      <c r="AJ251" s="30"/>
    </row>
    <row x14ac:dyDescent="0.25" r="252" customHeight="1" ht="17.25">
      <c r="A252" s="33"/>
      <c r="B252" s="31"/>
      <c r="C252" s="31"/>
      <c r="D252" s="31"/>
      <c r="E252" s="31"/>
      <c r="F252" s="31"/>
      <c r="G252" s="31"/>
      <c r="H252" s="32"/>
      <c r="I252" s="33"/>
      <c r="J252" s="32"/>
      <c r="K252" s="33"/>
      <c r="L252" s="32"/>
      <c r="M252" s="30"/>
      <c r="N252" s="30"/>
      <c r="O252" s="31"/>
      <c r="P252" s="32"/>
      <c r="Q252" s="30"/>
      <c r="R252" s="31"/>
      <c r="S252" s="30"/>
      <c r="T252" s="30"/>
      <c r="U252" s="33"/>
      <c r="V252" s="32"/>
      <c r="W252" s="30"/>
      <c r="X252" s="30"/>
      <c r="Y252" s="30"/>
      <c r="Z252" s="30"/>
      <c r="AA252" s="31"/>
      <c r="AB252" s="32"/>
      <c r="AC252" s="30"/>
      <c r="AD252" s="31"/>
      <c r="AE252" s="30"/>
      <c r="AF252" s="30"/>
      <c r="AG252" s="33"/>
      <c r="AH252" s="32"/>
      <c r="AI252" s="30"/>
      <c r="AJ252" s="30"/>
    </row>
    <row x14ac:dyDescent="0.25" r="253" customHeight="1" ht="17.25">
      <c r="A253" s="33"/>
      <c r="B253" s="31"/>
      <c r="C253" s="31"/>
      <c r="D253" s="31"/>
      <c r="E253" s="31"/>
      <c r="F253" s="31"/>
      <c r="G253" s="31"/>
      <c r="H253" s="32"/>
      <c r="I253" s="33"/>
      <c r="J253" s="32"/>
      <c r="K253" s="33"/>
      <c r="L253" s="32"/>
      <c r="M253" s="30"/>
      <c r="N253" s="30"/>
      <c r="O253" s="31"/>
      <c r="P253" s="32"/>
      <c r="Q253" s="30"/>
      <c r="R253" s="31"/>
      <c r="S253" s="30"/>
      <c r="T253" s="30"/>
      <c r="U253" s="33"/>
      <c r="V253" s="32"/>
      <c r="W253" s="30"/>
      <c r="X253" s="30"/>
      <c r="Y253" s="30"/>
      <c r="Z253" s="30"/>
      <c r="AA253" s="31"/>
      <c r="AB253" s="32"/>
      <c r="AC253" s="30"/>
      <c r="AD253" s="31"/>
      <c r="AE253" s="30"/>
      <c r="AF253" s="30"/>
      <c r="AG253" s="33"/>
      <c r="AH253" s="32"/>
      <c r="AI253" s="30"/>
      <c r="AJ253" s="30"/>
    </row>
    <row x14ac:dyDescent="0.25" r="254" customHeight="1" ht="17.25">
      <c r="A254" s="33"/>
      <c r="B254" s="31"/>
      <c r="C254" s="31"/>
      <c r="D254" s="31"/>
      <c r="E254" s="31"/>
      <c r="F254" s="31"/>
      <c r="G254" s="31"/>
      <c r="H254" s="32"/>
      <c r="I254" s="33"/>
      <c r="J254" s="32"/>
      <c r="K254" s="33"/>
      <c r="L254" s="32"/>
      <c r="M254" s="30"/>
      <c r="N254" s="30"/>
      <c r="O254" s="31"/>
      <c r="P254" s="32"/>
      <c r="Q254" s="30"/>
      <c r="R254" s="31"/>
      <c r="S254" s="30"/>
      <c r="T254" s="30"/>
      <c r="U254" s="33"/>
      <c r="V254" s="32"/>
      <c r="W254" s="30"/>
      <c r="X254" s="30"/>
      <c r="Y254" s="30"/>
      <c r="Z254" s="30"/>
      <c r="AA254" s="31"/>
      <c r="AB254" s="32"/>
      <c r="AC254" s="30"/>
      <c r="AD254" s="31"/>
      <c r="AE254" s="30"/>
      <c r="AF254" s="30"/>
      <c r="AG254" s="33"/>
      <c r="AH254" s="32"/>
      <c r="AI254" s="30"/>
      <c r="AJ254" s="30"/>
    </row>
    <row x14ac:dyDescent="0.25" r="255" customHeight="1" ht="17.25">
      <c r="A255" s="33"/>
      <c r="B255" s="31"/>
      <c r="C255" s="31"/>
      <c r="D255" s="31"/>
      <c r="E255" s="31"/>
      <c r="F255" s="31"/>
      <c r="G255" s="31"/>
      <c r="H255" s="32"/>
      <c r="I255" s="33"/>
      <c r="J255" s="32"/>
      <c r="K255" s="33"/>
      <c r="L255" s="32"/>
      <c r="M255" s="30"/>
      <c r="N255" s="30"/>
      <c r="O255" s="31"/>
      <c r="P255" s="32"/>
      <c r="Q255" s="30"/>
      <c r="R255" s="31"/>
      <c r="S255" s="30"/>
      <c r="T255" s="30"/>
      <c r="U255" s="33"/>
      <c r="V255" s="32"/>
      <c r="W255" s="30"/>
      <c r="X255" s="30"/>
      <c r="Y255" s="30"/>
      <c r="Z255" s="30"/>
      <c r="AA255" s="31"/>
      <c r="AB255" s="32"/>
      <c r="AC255" s="30"/>
      <c r="AD255" s="31"/>
      <c r="AE255" s="30"/>
      <c r="AF255" s="30"/>
      <c r="AG255" s="33"/>
      <c r="AH255" s="32"/>
      <c r="AI255" s="30"/>
      <c r="AJ255" s="30"/>
    </row>
    <row x14ac:dyDescent="0.25" r="256" customHeight="1" ht="17.25">
      <c r="A256" s="33"/>
      <c r="B256" s="31"/>
      <c r="C256" s="31"/>
      <c r="D256" s="57"/>
      <c r="E256" s="31"/>
      <c r="F256" s="31"/>
      <c r="G256" s="31"/>
      <c r="H256" s="32"/>
      <c r="I256" s="33"/>
      <c r="J256" s="32"/>
      <c r="K256" s="33"/>
      <c r="L256" s="32"/>
      <c r="M256" s="30"/>
      <c r="N256" s="30"/>
      <c r="O256" s="31"/>
      <c r="P256" s="32"/>
      <c r="Q256" s="30"/>
      <c r="R256" s="31"/>
      <c r="S256" s="30"/>
      <c r="T256" s="30"/>
      <c r="U256" s="33"/>
      <c r="V256" s="32"/>
      <c r="W256" s="30"/>
      <c r="X256" s="30"/>
      <c r="Y256" s="30"/>
      <c r="Z256" s="30"/>
      <c r="AA256" s="31"/>
      <c r="AB256" s="32"/>
      <c r="AC256" s="30"/>
      <c r="AD256" s="31"/>
      <c r="AE256" s="30"/>
      <c r="AF256" s="30"/>
      <c r="AG256" s="33"/>
      <c r="AH256" s="32"/>
      <c r="AI256" s="30"/>
      <c r="AJ256" s="30"/>
    </row>
    <row x14ac:dyDescent="0.25" r="257" customHeight="1" ht="17.25">
      <c r="A257" s="33"/>
      <c r="B257" s="31"/>
      <c r="C257" s="31"/>
      <c r="D257" s="57"/>
      <c r="E257" s="31"/>
      <c r="F257" s="31"/>
      <c r="G257" s="31"/>
      <c r="H257" s="32"/>
      <c r="I257" s="33"/>
      <c r="J257" s="32"/>
      <c r="K257" s="33"/>
      <c r="L257" s="32"/>
      <c r="M257" s="30"/>
      <c r="N257" s="30"/>
      <c r="O257" s="31"/>
      <c r="P257" s="32"/>
      <c r="Q257" s="30"/>
      <c r="R257" s="31"/>
      <c r="S257" s="30"/>
      <c r="T257" s="30"/>
      <c r="U257" s="33"/>
      <c r="V257" s="32"/>
      <c r="W257" s="30"/>
      <c r="X257" s="30"/>
      <c r="Y257" s="30"/>
      <c r="Z257" s="30"/>
      <c r="AA257" s="31"/>
      <c r="AB257" s="32"/>
      <c r="AC257" s="30"/>
      <c r="AD257" s="31"/>
      <c r="AE257" s="30"/>
      <c r="AF257" s="30"/>
      <c r="AG257" s="33"/>
      <c r="AH257" s="32"/>
      <c r="AI257" s="30"/>
      <c r="AJ257" s="30"/>
    </row>
    <row x14ac:dyDescent="0.25" r="258" customHeight="1" ht="17.25">
      <c r="A258" s="33"/>
      <c r="B258" s="31"/>
      <c r="C258" s="31"/>
      <c r="D258" s="57"/>
      <c r="E258" s="31"/>
      <c r="F258" s="31"/>
      <c r="G258" s="31"/>
      <c r="H258" s="32"/>
      <c r="I258" s="33"/>
      <c r="J258" s="32"/>
      <c r="K258" s="33"/>
      <c r="L258" s="32"/>
      <c r="M258" s="30"/>
      <c r="N258" s="30"/>
      <c r="O258" s="31"/>
      <c r="P258" s="32"/>
      <c r="Q258" s="30"/>
      <c r="R258" s="31"/>
      <c r="S258" s="30"/>
      <c r="T258" s="30"/>
      <c r="U258" s="33"/>
      <c r="V258" s="32"/>
      <c r="W258" s="30"/>
      <c r="X258" s="30"/>
      <c r="Y258" s="30"/>
      <c r="Z258" s="30"/>
      <c r="AA258" s="31"/>
      <c r="AB258" s="32"/>
      <c r="AC258" s="30"/>
      <c r="AD258" s="31"/>
      <c r="AE258" s="30"/>
      <c r="AF258" s="30"/>
      <c r="AG258" s="33"/>
      <c r="AH258" s="32"/>
      <c r="AI258" s="30"/>
      <c r="AJ258" s="30"/>
    </row>
    <row x14ac:dyDescent="0.25" r="259" customHeight="1" ht="17.25">
      <c r="A259" s="33"/>
      <c r="B259" s="31"/>
      <c r="C259" s="31"/>
      <c r="D259" s="57"/>
      <c r="E259" s="31"/>
      <c r="F259" s="31"/>
      <c r="G259" s="31"/>
      <c r="H259" s="32"/>
      <c r="I259" s="33"/>
      <c r="J259" s="32"/>
      <c r="K259" s="33"/>
      <c r="L259" s="32"/>
      <c r="M259" s="30"/>
      <c r="N259" s="30"/>
      <c r="O259" s="31"/>
      <c r="P259" s="32"/>
      <c r="Q259" s="30"/>
      <c r="R259" s="31"/>
      <c r="S259" s="30"/>
      <c r="T259" s="30"/>
      <c r="U259" s="33"/>
      <c r="V259" s="32"/>
      <c r="W259" s="30"/>
      <c r="X259" s="30"/>
      <c r="Y259" s="30"/>
      <c r="Z259" s="30"/>
      <c r="AA259" s="31"/>
      <c r="AB259" s="32"/>
      <c r="AC259" s="30"/>
      <c r="AD259" s="31"/>
      <c r="AE259" s="30"/>
      <c r="AF259" s="30"/>
      <c r="AG259" s="33"/>
      <c r="AH259" s="32"/>
      <c r="AI259" s="30"/>
      <c r="AJ259" s="30"/>
    </row>
    <row x14ac:dyDescent="0.25" r="260" customHeight="1" ht="17.25">
      <c r="A260" s="33"/>
      <c r="B260" s="31"/>
      <c r="C260" s="31"/>
      <c r="D260" s="57"/>
      <c r="E260" s="31"/>
      <c r="F260" s="31"/>
      <c r="G260" s="31"/>
      <c r="H260" s="32"/>
      <c r="I260" s="33"/>
      <c r="J260" s="32"/>
      <c r="K260" s="33"/>
      <c r="L260" s="32"/>
      <c r="M260" s="30"/>
      <c r="N260" s="30"/>
      <c r="O260" s="31"/>
      <c r="P260" s="32"/>
      <c r="Q260" s="30"/>
      <c r="R260" s="31"/>
      <c r="S260" s="30"/>
      <c r="T260" s="30"/>
      <c r="U260" s="33"/>
      <c r="V260" s="32"/>
      <c r="W260" s="30"/>
      <c r="X260" s="30"/>
      <c r="Y260" s="30"/>
      <c r="Z260" s="30"/>
      <c r="AA260" s="31"/>
      <c r="AB260" s="32"/>
      <c r="AC260" s="30"/>
      <c r="AD260" s="31"/>
      <c r="AE260" s="30"/>
      <c r="AF260" s="30"/>
      <c r="AG260" s="33"/>
      <c r="AH260" s="32"/>
      <c r="AI260" s="30"/>
      <c r="AJ260" s="30"/>
    </row>
    <row x14ac:dyDescent="0.25" r="261" customHeight="1" ht="17.25">
      <c r="A261" s="33"/>
      <c r="B261" s="31"/>
      <c r="C261" s="31"/>
      <c r="D261" s="57"/>
      <c r="E261" s="31"/>
      <c r="F261" s="31"/>
      <c r="G261" s="31"/>
      <c r="H261" s="32"/>
      <c r="I261" s="33"/>
      <c r="J261" s="32"/>
      <c r="K261" s="33"/>
      <c r="L261" s="32"/>
      <c r="M261" s="30"/>
      <c r="N261" s="30"/>
      <c r="O261" s="31"/>
      <c r="P261" s="32"/>
      <c r="Q261" s="30"/>
      <c r="R261" s="31"/>
      <c r="S261" s="30"/>
      <c r="T261" s="30"/>
      <c r="U261" s="33"/>
      <c r="V261" s="32"/>
      <c r="W261" s="30"/>
      <c r="X261" s="30"/>
      <c r="Y261" s="30"/>
      <c r="Z261" s="30"/>
      <c r="AA261" s="31"/>
      <c r="AB261" s="32"/>
      <c r="AC261" s="30"/>
      <c r="AD261" s="31"/>
      <c r="AE261" s="30"/>
      <c r="AF261" s="30"/>
      <c r="AG261" s="33"/>
      <c r="AH261" s="32"/>
      <c r="AI261" s="30"/>
      <c r="AJ261" s="30"/>
    </row>
    <row x14ac:dyDescent="0.25" r="262" customHeight="1" ht="17.25">
      <c r="A262" s="33"/>
      <c r="B262" s="31"/>
      <c r="C262" s="31"/>
      <c r="D262" s="57"/>
      <c r="E262" s="31"/>
      <c r="F262" s="31"/>
      <c r="G262" s="31"/>
      <c r="H262" s="32"/>
      <c r="I262" s="33"/>
      <c r="J262" s="32"/>
      <c r="K262" s="33"/>
      <c r="L262" s="32"/>
      <c r="M262" s="30"/>
      <c r="N262" s="30"/>
      <c r="O262" s="31"/>
      <c r="P262" s="32"/>
      <c r="Q262" s="30"/>
      <c r="R262" s="31"/>
      <c r="S262" s="30"/>
      <c r="T262" s="30"/>
      <c r="U262" s="33"/>
      <c r="V262" s="32"/>
      <c r="W262" s="30"/>
      <c r="X262" s="30"/>
      <c r="Y262" s="30"/>
      <c r="Z262" s="30"/>
      <c r="AA262" s="31"/>
      <c r="AB262" s="32"/>
      <c r="AC262" s="30"/>
      <c r="AD262" s="31"/>
      <c r="AE262" s="30"/>
      <c r="AF262" s="30"/>
      <c r="AG262" s="33"/>
      <c r="AH262" s="32"/>
      <c r="AI262" s="30"/>
      <c r="AJ262" s="30"/>
    </row>
    <row x14ac:dyDescent="0.25" r="263" customHeight="1" ht="17.25">
      <c r="A263" s="33"/>
      <c r="B263" s="31"/>
      <c r="C263" s="31"/>
      <c r="D263" s="57"/>
      <c r="E263" s="31"/>
      <c r="F263" s="31"/>
      <c r="G263" s="31"/>
      <c r="H263" s="32"/>
      <c r="I263" s="33"/>
      <c r="J263" s="32"/>
      <c r="K263" s="33"/>
      <c r="L263" s="32"/>
      <c r="M263" s="30"/>
      <c r="N263" s="30"/>
      <c r="O263" s="31"/>
      <c r="P263" s="32"/>
      <c r="Q263" s="30"/>
      <c r="R263" s="31"/>
      <c r="S263" s="30"/>
      <c r="T263" s="30"/>
      <c r="U263" s="33"/>
      <c r="V263" s="32"/>
      <c r="W263" s="30"/>
      <c r="X263" s="30"/>
      <c r="Y263" s="30"/>
      <c r="Z263" s="30"/>
      <c r="AA263" s="31"/>
      <c r="AB263" s="32"/>
      <c r="AC263" s="30"/>
      <c r="AD263" s="31"/>
      <c r="AE263" s="30"/>
      <c r="AF263" s="30"/>
      <c r="AG263" s="33"/>
      <c r="AH263" s="32"/>
      <c r="AI263" s="30"/>
      <c r="AJ263" s="30"/>
    </row>
    <row x14ac:dyDescent="0.25" r="264" customHeight="1" ht="17.25">
      <c r="A264" s="33"/>
      <c r="B264" s="31"/>
      <c r="C264" s="31"/>
      <c r="D264" s="57"/>
      <c r="E264" s="31"/>
      <c r="F264" s="31"/>
      <c r="G264" s="31"/>
      <c r="H264" s="32"/>
      <c r="I264" s="33"/>
      <c r="J264" s="32"/>
      <c r="K264" s="33"/>
      <c r="L264" s="32"/>
      <c r="M264" s="30"/>
      <c r="N264" s="30"/>
      <c r="O264" s="31"/>
      <c r="P264" s="32"/>
      <c r="Q264" s="30"/>
      <c r="R264" s="31"/>
      <c r="S264" s="30"/>
      <c r="T264" s="30"/>
      <c r="U264" s="33"/>
      <c r="V264" s="32"/>
      <c r="W264" s="30"/>
      <c r="X264" s="30"/>
      <c r="Y264" s="30"/>
      <c r="Z264" s="30"/>
      <c r="AA264" s="31"/>
      <c r="AB264" s="32"/>
      <c r="AC264" s="30"/>
      <c r="AD264" s="31"/>
      <c r="AE264" s="30"/>
      <c r="AF264" s="30"/>
      <c r="AG264" s="33"/>
      <c r="AH264" s="32"/>
      <c r="AI264" s="30"/>
      <c r="AJ264" s="30"/>
    </row>
    <row x14ac:dyDescent="0.25" r="265" customHeight="1" ht="17.25">
      <c r="A265" s="33"/>
      <c r="B265" s="31"/>
      <c r="C265" s="31"/>
      <c r="D265" s="57"/>
      <c r="E265" s="31"/>
      <c r="F265" s="31"/>
      <c r="G265" s="31"/>
      <c r="H265" s="32"/>
      <c r="I265" s="33"/>
      <c r="J265" s="32"/>
      <c r="K265" s="33"/>
      <c r="L265" s="32"/>
      <c r="M265" s="30"/>
      <c r="N265" s="30"/>
      <c r="O265" s="31"/>
      <c r="P265" s="32"/>
      <c r="Q265" s="30"/>
      <c r="R265" s="31"/>
      <c r="S265" s="30"/>
      <c r="T265" s="30"/>
      <c r="U265" s="33"/>
      <c r="V265" s="32"/>
      <c r="W265" s="30"/>
      <c r="X265" s="30"/>
      <c r="Y265" s="30"/>
      <c r="Z265" s="30"/>
      <c r="AA265" s="31"/>
      <c r="AB265" s="32"/>
      <c r="AC265" s="30"/>
      <c r="AD265" s="31"/>
      <c r="AE265" s="30"/>
      <c r="AF265" s="30"/>
      <c r="AG265" s="33"/>
      <c r="AH265" s="32"/>
      <c r="AI265" s="30"/>
      <c r="AJ265" s="30"/>
    </row>
    <row x14ac:dyDescent="0.25" r="266" customHeight="1" ht="17.25">
      <c r="A266" s="33"/>
      <c r="B266" s="31"/>
      <c r="C266" s="31"/>
      <c r="D266" s="57"/>
      <c r="E266" s="31"/>
      <c r="F266" s="31"/>
      <c r="G266" s="31"/>
      <c r="H266" s="32"/>
      <c r="I266" s="33"/>
      <c r="J266" s="32"/>
      <c r="K266" s="33"/>
      <c r="L266" s="32"/>
      <c r="M266" s="30"/>
      <c r="N266" s="30"/>
      <c r="O266" s="31"/>
      <c r="P266" s="32"/>
      <c r="Q266" s="30"/>
      <c r="R266" s="31"/>
      <c r="S266" s="30"/>
      <c r="T266" s="30"/>
      <c r="U266" s="33"/>
      <c r="V266" s="32"/>
      <c r="W266" s="30"/>
      <c r="X266" s="30"/>
      <c r="Y266" s="30"/>
      <c r="Z266" s="30"/>
      <c r="AA266" s="31"/>
      <c r="AB266" s="32"/>
      <c r="AC266" s="30"/>
      <c r="AD266" s="31"/>
      <c r="AE266" s="30"/>
      <c r="AF266" s="30"/>
      <c r="AG266" s="33"/>
      <c r="AH266" s="32"/>
      <c r="AI266" s="30"/>
      <c r="AJ266" s="30"/>
    </row>
    <row x14ac:dyDescent="0.25" r="267" customHeight="1" ht="17.25">
      <c r="A267" s="33"/>
      <c r="B267" s="31"/>
      <c r="C267" s="31"/>
      <c r="D267" s="57"/>
      <c r="E267" s="31"/>
      <c r="F267" s="31"/>
      <c r="G267" s="31"/>
      <c r="H267" s="32"/>
      <c r="I267" s="33"/>
      <c r="J267" s="32"/>
      <c r="K267" s="33"/>
      <c r="L267" s="32"/>
      <c r="M267" s="30"/>
      <c r="N267" s="30"/>
      <c r="O267" s="31"/>
      <c r="P267" s="32"/>
      <c r="Q267" s="30"/>
      <c r="R267" s="31"/>
      <c r="S267" s="30"/>
      <c r="T267" s="30"/>
      <c r="U267" s="33"/>
      <c r="V267" s="32"/>
      <c r="W267" s="30"/>
      <c r="X267" s="30"/>
      <c r="Y267" s="30"/>
      <c r="Z267" s="30"/>
      <c r="AA267" s="31"/>
      <c r="AB267" s="32"/>
      <c r="AC267" s="30"/>
      <c r="AD267" s="31"/>
      <c r="AE267" s="30"/>
      <c r="AF267" s="30"/>
      <c r="AG267" s="33"/>
      <c r="AH267" s="32"/>
      <c r="AI267" s="30"/>
      <c r="AJ267" s="30"/>
    </row>
    <row x14ac:dyDescent="0.25" r="268" customHeight="1" ht="17.25">
      <c r="A268" s="33"/>
      <c r="B268" s="31"/>
      <c r="C268" s="31"/>
      <c r="D268" s="57"/>
      <c r="E268" s="31"/>
      <c r="F268" s="31"/>
      <c r="G268" s="31"/>
      <c r="H268" s="32"/>
      <c r="I268" s="33"/>
      <c r="J268" s="32"/>
      <c r="K268" s="33"/>
      <c r="L268" s="32"/>
      <c r="M268" s="30"/>
      <c r="N268" s="30"/>
      <c r="O268" s="31"/>
      <c r="P268" s="32"/>
      <c r="Q268" s="30"/>
      <c r="R268" s="31"/>
      <c r="S268" s="30"/>
      <c r="T268" s="30"/>
      <c r="U268" s="33"/>
      <c r="V268" s="32"/>
      <c r="W268" s="30"/>
      <c r="X268" s="30"/>
      <c r="Y268" s="30"/>
      <c r="Z268" s="30"/>
      <c r="AA268" s="31"/>
      <c r="AB268" s="32"/>
      <c r="AC268" s="30"/>
      <c r="AD268" s="31"/>
      <c r="AE268" s="30"/>
      <c r="AF268" s="30"/>
      <c r="AG268" s="33"/>
      <c r="AH268" s="32"/>
      <c r="AI268" s="30"/>
      <c r="AJ268" s="30"/>
    </row>
    <row x14ac:dyDescent="0.25" r="269" customHeight="1" ht="17.25">
      <c r="A269" s="33"/>
      <c r="B269" s="31"/>
      <c r="C269" s="31"/>
      <c r="D269" s="57"/>
      <c r="E269" s="31"/>
      <c r="F269" s="31"/>
      <c r="G269" s="31"/>
      <c r="H269" s="32"/>
      <c r="I269" s="33"/>
      <c r="J269" s="32"/>
      <c r="K269" s="33"/>
      <c r="L269" s="32"/>
      <c r="M269" s="30"/>
      <c r="N269" s="30"/>
      <c r="O269" s="31"/>
      <c r="P269" s="32"/>
      <c r="Q269" s="30"/>
      <c r="R269" s="31"/>
      <c r="S269" s="30"/>
      <c r="T269" s="30"/>
      <c r="U269" s="33"/>
      <c r="V269" s="32"/>
      <c r="W269" s="30"/>
      <c r="X269" s="30"/>
      <c r="Y269" s="30"/>
      <c r="Z269" s="30"/>
      <c r="AA269" s="31"/>
      <c r="AB269" s="32"/>
      <c r="AC269" s="30"/>
      <c r="AD269" s="31"/>
      <c r="AE269" s="30"/>
      <c r="AF269" s="30"/>
      <c r="AG269" s="33"/>
      <c r="AH269" s="32"/>
      <c r="AI269" s="30"/>
      <c r="AJ269" s="30"/>
    </row>
    <row x14ac:dyDescent="0.25" r="270" customHeight="1" ht="17.25">
      <c r="A270" s="33"/>
      <c r="B270" s="31"/>
      <c r="C270" s="31"/>
      <c r="D270" s="57"/>
      <c r="E270" s="31"/>
      <c r="F270" s="31"/>
      <c r="G270" s="31"/>
      <c r="H270" s="32"/>
      <c r="I270" s="33"/>
      <c r="J270" s="32"/>
      <c r="K270" s="33"/>
      <c r="L270" s="32"/>
      <c r="M270" s="30"/>
      <c r="N270" s="30"/>
      <c r="O270" s="31"/>
      <c r="P270" s="32"/>
      <c r="Q270" s="30"/>
      <c r="R270" s="31"/>
      <c r="S270" s="30"/>
      <c r="T270" s="30"/>
      <c r="U270" s="33"/>
      <c r="V270" s="32"/>
      <c r="W270" s="30"/>
      <c r="X270" s="30"/>
      <c r="Y270" s="30"/>
      <c r="Z270" s="30"/>
      <c r="AA270" s="31"/>
      <c r="AB270" s="32"/>
      <c r="AC270" s="30"/>
      <c r="AD270" s="31"/>
      <c r="AE270" s="30"/>
      <c r="AF270" s="30"/>
      <c r="AG270" s="33"/>
      <c r="AH270" s="32"/>
      <c r="AI270" s="30"/>
      <c r="AJ270" s="30"/>
    </row>
    <row x14ac:dyDescent="0.25" r="271" customHeight="1" ht="17.25">
      <c r="A271" s="33"/>
      <c r="B271" s="31"/>
      <c r="C271" s="31"/>
      <c r="D271" s="57"/>
      <c r="E271" s="31"/>
      <c r="F271" s="31"/>
      <c r="G271" s="31"/>
      <c r="H271" s="32"/>
      <c r="I271" s="33"/>
      <c r="J271" s="32"/>
      <c r="K271" s="33"/>
      <c r="L271" s="32"/>
      <c r="M271" s="30"/>
      <c r="N271" s="30"/>
      <c r="O271" s="31"/>
      <c r="P271" s="32"/>
      <c r="Q271" s="30"/>
      <c r="R271" s="31"/>
      <c r="S271" s="30"/>
      <c r="T271" s="30"/>
      <c r="U271" s="33"/>
      <c r="V271" s="32"/>
      <c r="W271" s="30"/>
      <c r="X271" s="30"/>
      <c r="Y271" s="30"/>
      <c r="Z271" s="30"/>
      <c r="AA271" s="31"/>
      <c r="AB271" s="32"/>
      <c r="AC271" s="30"/>
      <c r="AD271" s="31"/>
      <c r="AE271" s="30"/>
      <c r="AF271" s="30"/>
      <c r="AG271" s="33"/>
      <c r="AH271" s="32"/>
      <c r="AI271" s="30"/>
      <c r="AJ271" s="30"/>
    </row>
    <row x14ac:dyDescent="0.25" r="272" customHeight="1" ht="17.25">
      <c r="A272" s="33"/>
      <c r="B272" s="31"/>
      <c r="C272" s="31"/>
      <c r="D272" s="57"/>
      <c r="E272" s="31"/>
      <c r="F272" s="31"/>
      <c r="G272" s="31"/>
      <c r="H272" s="32"/>
      <c r="I272" s="33"/>
      <c r="J272" s="32"/>
      <c r="K272" s="33"/>
      <c r="L272" s="32"/>
      <c r="M272" s="30"/>
      <c r="N272" s="30"/>
      <c r="O272" s="31"/>
      <c r="P272" s="32"/>
      <c r="Q272" s="30"/>
      <c r="R272" s="31"/>
      <c r="S272" s="30"/>
      <c r="T272" s="30"/>
      <c r="U272" s="33"/>
      <c r="V272" s="32"/>
      <c r="W272" s="30"/>
      <c r="X272" s="30"/>
      <c r="Y272" s="30"/>
      <c r="Z272" s="30"/>
      <c r="AA272" s="31"/>
      <c r="AB272" s="32"/>
      <c r="AC272" s="30"/>
      <c r="AD272" s="31"/>
      <c r="AE272" s="30"/>
      <c r="AF272" s="30"/>
      <c r="AG272" s="33"/>
      <c r="AH272" s="32"/>
      <c r="AI272" s="30"/>
      <c r="AJ272" s="30"/>
    </row>
    <row x14ac:dyDescent="0.25" r="273" customHeight="1" ht="17.25">
      <c r="A273" s="33"/>
      <c r="B273" s="31"/>
      <c r="C273" s="31"/>
      <c r="D273" s="57"/>
      <c r="E273" s="31"/>
      <c r="F273" s="31"/>
      <c r="G273" s="31"/>
      <c r="H273" s="32"/>
      <c r="I273" s="33"/>
      <c r="J273" s="32"/>
      <c r="K273" s="33"/>
      <c r="L273" s="32"/>
      <c r="M273" s="30"/>
      <c r="N273" s="30"/>
      <c r="O273" s="31"/>
      <c r="P273" s="32"/>
      <c r="Q273" s="30"/>
      <c r="R273" s="31"/>
      <c r="S273" s="30"/>
      <c r="T273" s="30"/>
      <c r="U273" s="33"/>
      <c r="V273" s="32"/>
      <c r="W273" s="30"/>
      <c r="X273" s="30"/>
      <c r="Y273" s="30"/>
      <c r="Z273" s="30"/>
      <c r="AA273" s="31"/>
      <c r="AB273" s="32"/>
      <c r="AC273" s="30"/>
      <c r="AD273" s="31"/>
      <c r="AE273" s="30"/>
      <c r="AF273" s="30"/>
      <c r="AG273" s="33"/>
      <c r="AH273" s="32"/>
      <c r="AI273" s="30"/>
      <c r="AJ273" s="30"/>
    </row>
    <row x14ac:dyDescent="0.25" r="274" customHeight="1" ht="17.25">
      <c r="A274" s="33"/>
      <c r="B274" s="31"/>
      <c r="C274" s="31"/>
      <c r="D274" s="57"/>
      <c r="E274" s="31"/>
      <c r="F274" s="31"/>
      <c r="G274" s="31"/>
      <c r="H274" s="32"/>
      <c r="I274" s="33"/>
      <c r="J274" s="32"/>
      <c r="K274" s="33"/>
      <c r="L274" s="32"/>
      <c r="M274" s="30"/>
      <c r="N274" s="30"/>
      <c r="O274" s="31"/>
      <c r="P274" s="32"/>
      <c r="Q274" s="30"/>
      <c r="R274" s="31"/>
      <c r="S274" s="30"/>
      <c r="T274" s="30"/>
      <c r="U274" s="33"/>
      <c r="V274" s="32"/>
      <c r="W274" s="30"/>
      <c r="X274" s="30"/>
      <c r="Y274" s="30"/>
      <c r="Z274" s="30"/>
      <c r="AA274" s="31"/>
      <c r="AB274" s="32"/>
      <c r="AC274" s="30"/>
      <c r="AD274" s="31"/>
      <c r="AE274" s="30"/>
      <c r="AF274" s="30"/>
      <c r="AG274" s="33"/>
      <c r="AH274" s="32"/>
      <c r="AI274" s="30"/>
      <c r="AJ274" s="30"/>
    </row>
    <row x14ac:dyDescent="0.25" r="275" customHeight="1" ht="17.25">
      <c r="A275" s="33"/>
      <c r="B275" s="31"/>
      <c r="C275" s="31"/>
      <c r="D275" s="57"/>
      <c r="E275" s="31"/>
      <c r="F275" s="31"/>
      <c r="G275" s="31"/>
      <c r="H275" s="32"/>
      <c r="I275" s="33"/>
      <c r="J275" s="32"/>
      <c r="K275" s="33"/>
      <c r="L275" s="32"/>
      <c r="M275" s="30"/>
      <c r="N275" s="30"/>
      <c r="O275" s="31"/>
      <c r="P275" s="32"/>
      <c r="Q275" s="30"/>
      <c r="R275" s="31"/>
      <c r="S275" s="30"/>
      <c r="T275" s="30"/>
      <c r="U275" s="33"/>
      <c r="V275" s="32"/>
      <c r="W275" s="30"/>
      <c r="X275" s="30"/>
      <c r="Y275" s="30"/>
      <c r="Z275" s="30"/>
      <c r="AA275" s="31"/>
      <c r="AB275" s="32"/>
      <c r="AC275" s="30"/>
      <c r="AD275" s="31"/>
      <c r="AE275" s="30"/>
      <c r="AF275" s="30"/>
      <c r="AG275" s="33"/>
      <c r="AH275" s="32"/>
      <c r="AI275" s="30"/>
      <c r="AJ275" s="30"/>
    </row>
    <row x14ac:dyDescent="0.25" r="276" customHeight="1" ht="17.25">
      <c r="A276" s="33"/>
      <c r="B276" s="31"/>
      <c r="C276" s="31"/>
      <c r="D276" s="57"/>
      <c r="E276" s="31"/>
      <c r="F276" s="31"/>
      <c r="G276" s="31"/>
      <c r="H276" s="32"/>
      <c r="I276" s="33"/>
      <c r="J276" s="32"/>
      <c r="K276" s="33"/>
      <c r="L276" s="32"/>
      <c r="M276" s="30"/>
      <c r="N276" s="30"/>
      <c r="O276" s="31"/>
      <c r="P276" s="32"/>
      <c r="Q276" s="30"/>
      <c r="R276" s="31"/>
      <c r="S276" s="30"/>
      <c r="T276" s="30"/>
      <c r="U276" s="33"/>
      <c r="V276" s="32"/>
      <c r="W276" s="30"/>
      <c r="X276" s="30"/>
      <c r="Y276" s="30"/>
      <c r="Z276" s="30"/>
      <c r="AA276" s="31"/>
      <c r="AB276" s="32"/>
      <c r="AC276" s="30"/>
      <c r="AD276" s="31"/>
      <c r="AE276" s="30"/>
      <c r="AF276" s="30"/>
      <c r="AG276" s="33"/>
      <c r="AH276" s="32"/>
      <c r="AI276" s="30"/>
      <c r="AJ276" s="30"/>
    </row>
    <row x14ac:dyDescent="0.25" r="277" customHeight="1" ht="17.25">
      <c r="A277" s="33"/>
      <c r="B277" s="31"/>
      <c r="C277" s="31"/>
      <c r="D277" s="57"/>
      <c r="E277" s="31"/>
      <c r="F277" s="31"/>
      <c r="G277" s="31"/>
      <c r="H277" s="32"/>
      <c r="I277" s="33"/>
      <c r="J277" s="32"/>
      <c r="K277" s="33"/>
      <c r="L277" s="32"/>
      <c r="M277" s="30"/>
      <c r="N277" s="30"/>
      <c r="O277" s="31"/>
      <c r="P277" s="32"/>
      <c r="Q277" s="30"/>
      <c r="R277" s="31"/>
      <c r="S277" s="30"/>
      <c r="T277" s="30"/>
      <c r="U277" s="33"/>
      <c r="V277" s="32"/>
      <c r="W277" s="30"/>
      <c r="X277" s="30"/>
      <c r="Y277" s="30"/>
      <c r="Z277" s="30"/>
      <c r="AA277" s="31"/>
      <c r="AB277" s="32"/>
      <c r="AC277" s="30"/>
      <c r="AD277" s="31"/>
      <c r="AE277" s="30"/>
      <c r="AF277" s="30"/>
      <c r="AG277" s="33"/>
      <c r="AH277" s="32"/>
      <c r="AI277" s="30"/>
      <c r="AJ277" s="30"/>
    </row>
    <row x14ac:dyDescent="0.25" r="278" customHeight="1" ht="17.25">
      <c r="A278" s="33"/>
      <c r="B278" s="31"/>
      <c r="C278" s="31"/>
      <c r="D278" s="57"/>
      <c r="E278" s="31"/>
      <c r="F278" s="31"/>
      <c r="G278" s="31"/>
      <c r="H278" s="32"/>
      <c r="I278" s="33"/>
      <c r="J278" s="32"/>
      <c r="K278" s="33"/>
      <c r="L278" s="32"/>
      <c r="M278" s="30"/>
      <c r="N278" s="30"/>
      <c r="O278" s="31"/>
      <c r="P278" s="32"/>
      <c r="Q278" s="30"/>
      <c r="R278" s="31"/>
      <c r="S278" s="30"/>
      <c r="T278" s="30"/>
      <c r="U278" s="33"/>
      <c r="V278" s="32"/>
      <c r="W278" s="30"/>
      <c r="X278" s="30"/>
      <c r="Y278" s="30"/>
      <c r="Z278" s="30"/>
      <c r="AA278" s="31"/>
      <c r="AB278" s="32"/>
      <c r="AC278" s="30"/>
      <c r="AD278" s="31"/>
      <c r="AE278" s="30"/>
      <c r="AF278" s="30"/>
      <c r="AG278" s="33"/>
      <c r="AH278" s="32"/>
      <c r="AI278" s="30"/>
      <c r="AJ278" s="30"/>
    </row>
    <row x14ac:dyDescent="0.25" r="279" customHeight="1" ht="17.25">
      <c r="A279" s="33"/>
      <c r="B279" s="31"/>
      <c r="C279" s="31"/>
      <c r="D279" s="57"/>
      <c r="E279" s="31"/>
      <c r="F279" s="31"/>
      <c r="G279" s="31"/>
      <c r="H279" s="32"/>
      <c r="I279" s="33"/>
      <c r="J279" s="32"/>
      <c r="K279" s="33"/>
      <c r="L279" s="32"/>
      <c r="M279" s="30"/>
      <c r="N279" s="30"/>
      <c r="O279" s="31"/>
      <c r="P279" s="32"/>
      <c r="Q279" s="30"/>
      <c r="R279" s="31"/>
      <c r="S279" s="30"/>
      <c r="T279" s="30"/>
      <c r="U279" s="33"/>
      <c r="V279" s="32"/>
      <c r="W279" s="30"/>
      <c r="X279" s="30"/>
      <c r="Y279" s="30"/>
      <c r="Z279" s="30"/>
      <c r="AA279" s="31"/>
      <c r="AB279" s="32"/>
      <c r="AC279" s="30"/>
      <c r="AD279" s="31"/>
      <c r="AE279" s="30"/>
      <c r="AF279" s="30"/>
      <c r="AG279" s="33"/>
      <c r="AH279" s="32"/>
      <c r="AI279" s="30"/>
      <c r="AJ279" s="30"/>
    </row>
    <row x14ac:dyDescent="0.25" r="280" customHeight="1" ht="17.25">
      <c r="A280" s="33"/>
      <c r="B280" s="31"/>
      <c r="C280" s="31"/>
      <c r="D280" s="57"/>
      <c r="E280" s="31"/>
      <c r="F280" s="31"/>
      <c r="G280" s="31"/>
      <c r="H280" s="32"/>
      <c r="I280" s="33"/>
      <c r="J280" s="32"/>
      <c r="K280" s="33"/>
      <c r="L280" s="32"/>
      <c r="M280" s="30"/>
      <c r="N280" s="30"/>
      <c r="O280" s="31"/>
      <c r="P280" s="32"/>
      <c r="Q280" s="30"/>
      <c r="R280" s="31"/>
      <c r="S280" s="30"/>
      <c r="T280" s="30"/>
      <c r="U280" s="33"/>
      <c r="V280" s="32"/>
      <c r="W280" s="30"/>
      <c r="X280" s="30"/>
      <c r="Y280" s="30"/>
      <c r="Z280" s="30"/>
      <c r="AA280" s="31"/>
      <c r="AB280" s="32"/>
      <c r="AC280" s="30"/>
      <c r="AD280" s="31"/>
      <c r="AE280" s="30"/>
      <c r="AF280" s="30"/>
      <c r="AG280" s="33"/>
      <c r="AH280" s="32"/>
      <c r="AI280" s="30"/>
      <c r="AJ280" s="30"/>
    </row>
    <row x14ac:dyDescent="0.25" r="281" customHeight="1" ht="17.25">
      <c r="A281" s="33"/>
      <c r="B281" s="31"/>
      <c r="C281" s="31"/>
      <c r="D281" s="57"/>
      <c r="E281" s="31"/>
      <c r="F281" s="31"/>
      <c r="G281" s="31"/>
      <c r="H281" s="32"/>
      <c r="I281" s="33"/>
      <c r="J281" s="32"/>
      <c r="K281" s="33"/>
      <c r="L281" s="32"/>
      <c r="M281" s="30"/>
      <c r="N281" s="30"/>
      <c r="O281" s="31"/>
      <c r="P281" s="32"/>
      <c r="Q281" s="30"/>
      <c r="R281" s="31"/>
      <c r="S281" s="30"/>
      <c r="T281" s="30"/>
      <c r="U281" s="33"/>
      <c r="V281" s="32"/>
      <c r="W281" s="30"/>
      <c r="X281" s="30"/>
      <c r="Y281" s="30"/>
      <c r="Z281" s="30"/>
      <c r="AA281" s="31"/>
      <c r="AB281" s="32"/>
      <c r="AC281" s="30"/>
      <c r="AD281" s="31"/>
      <c r="AE281" s="30"/>
      <c r="AF281" s="30"/>
      <c r="AG281" s="33"/>
      <c r="AH281" s="32"/>
      <c r="AI281" s="30"/>
      <c r="AJ281" s="30"/>
    </row>
    <row x14ac:dyDescent="0.25" r="282" customHeight="1" ht="17.25">
      <c r="A282" s="33"/>
      <c r="B282" s="31"/>
      <c r="C282" s="31"/>
      <c r="D282" s="57"/>
      <c r="E282" s="31"/>
      <c r="F282" s="31"/>
      <c r="G282" s="31"/>
      <c r="H282" s="32"/>
      <c r="I282" s="33"/>
      <c r="J282" s="32"/>
      <c r="K282" s="33"/>
      <c r="L282" s="32"/>
      <c r="M282" s="30"/>
      <c r="N282" s="30"/>
      <c r="O282" s="31"/>
      <c r="P282" s="32"/>
      <c r="Q282" s="30"/>
      <c r="R282" s="31"/>
      <c r="S282" s="30"/>
      <c r="T282" s="30"/>
      <c r="U282" s="33"/>
      <c r="V282" s="32"/>
      <c r="W282" s="30"/>
      <c r="X282" s="30"/>
      <c r="Y282" s="30"/>
      <c r="Z282" s="30"/>
      <c r="AA282" s="31"/>
      <c r="AB282" s="32"/>
      <c r="AC282" s="30"/>
      <c r="AD282" s="31"/>
      <c r="AE282" s="30"/>
      <c r="AF282" s="30"/>
      <c r="AG282" s="33"/>
      <c r="AH282" s="32"/>
      <c r="AI282" s="30"/>
      <c r="AJ282" s="30"/>
    </row>
    <row x14ac:dyDescent="0.25" r="283" customHeight="1" ht="17.25">
      <c r="A283" s="33"/>
      <c r="B283" s="31"/>
      <c r="C283" s="31"/>
      <c r="D283" s="57"/>
      <c r="E283" s="31"/>
      <c r="F283" s="31"/>
      <c r="G283" s="31"/>
      <c r="H283" s="32"/>
      <c r="I283" s="33"/>
      <c r="J283" s="32"/>
      <c r="K283" s="33"/>
      <c r="L283" s="32"/>
      <c r="M283" s="30"/>
      <c r="N283" s="30"/>
      <c r="O283" s="31"/>
      <c r="P283" s="32"/>
      <c r="Q283" s="30"/>
      <c r="R283" s="31"/>
      <c r="S283" s="30"/>
      <c r="T283" s="30"/>
      <c r="U283" s="33"/>
      <c r="V283" s="32"/>
      <c r="W283" s="30"/>
      <c r="X283" s="30"/>
      <c r="Y283" s="30"/>
      <c r="Z283" s="30"/>
      <c r="AA283" s="31"/>
      <c r="AB283" s="32"/>
      <c r="AC283" s="30"/>
      <c r="AD283" s="31"/>
      <c r="AE283" s="30"/>
      <c r="AF283" s="30"/>
      <c r="AG283" s="33"/>
      <c r="AH283" s="32"/>
      <c r="AI283" s="30"/>
      <c r="AJ283" s="30"/>
    </row>
    <row x14ac:dyDescent="0.25" r="284" customHeight="1" ht="17.25">
      <c r="A284" s="33"/>
      <c r="B284" s="31"/>
      <c r="C284" s="31"/>
      <c r="D284" s="57"/>
      <c r="E284" s="31"/>
      <c r="F284" s="31"/>
      <c r="G284" s="31"/>
      <c r="H284" s="32"/>
      <c r="I284" s="33"/>
      <c r="J284" s="32"/>
      <c r="K284" s="33"/>
      <c r="L284" s="32"/>
      <c r="M284" s="30"/>
      <c r="N284" s="30"/>
      <c r="O284" s="31"/>
      <c r="P284" s="32"/>
      <c r="Q284" s="30"/>
      <c r="R284" s="31"/>
      <c r="S284" s="30"/>
      <c r="T284" s="30"/>
      <c r="U284" s="33"/>
      <c r="V284" s="32"/>
      <c r="W284" s="30"/>
      <c r="X284" s="30"/>
      <c r="Y284" s="30"/>
      <c r="Z284" s="30"/>
      <c r="AA284" s="31"/>
      <c r="AB284" s="32"/>
      <c r="AC284" s="30"/>
      <c r="AD284" s="31"/>
      <c r="AE284" s="30"/>
      <c r="AF284" s="30"/>
      <c r="AG284" s="33"/>
      <c r="AH284" s="32"/>
      <c r="AI284" s="30"/>
      <c r="AJ284" s="30"/>
    </row>
    <row x14ac:dyDescent="0.25" r="285" customHeight="1" ht="17.25">
      <c r="A285" s="33"/>
      <c r="B285" s="31"/>
      <c r="C285" s="31"/>
      <c r="D285" s="57"/>
      <c r="E285" s="31"/>
      <c r="F285" s="31"/>
      <c r="G285" s="31"/>
      <c r="H285" s="32"/>
      <c r="I285" s="33"/>
      <c r="J285" s="32"/>
      <c r="K285" s="33"/>
      <c r="L285" s="32"/>
      <c r="M285" s="30"/>
      <c r="N285" s="30"/>
      <c r="O285" s="31"/>
      <c r="P285" s="32"/>
      <c r="Q285" s="30"/>
      <c r="R285" s="31"/>
      <c r="S285" s="30"/>
      <c r="T285" s="30"/>
      <c r="U285" s="33"/>
      <c r="V285" s="32"/>
      <c r="W285" s="30"/>
      <c r="X285" s="30"/>
      <c r="Y285" s="30"/>
      <c r="Z285" s="30"/>
      <c r="AA285" s="31"/>
      <c r="AB285" s="32"/>
      <c r="AC285" s="30"/>
      <c r="AD285" s="31"/>
      <c r="AE285" s="30"/>
      <c r="AF285" s="30"/>
      <c r="AG285" s="33"/>
      <c r="AH285" s="32"/>
      <c r="AI285" s="30"/>
      <c r="AJ285" s="30"/>
    </row>
    <row x14ac:dyDescent="0.25" r="286" customHeight="1" ht="17.25">
      <c r="A286" s="33"/>
      <c r="B286" s="31"/>
      <c r="C286" s="31"/>
      <c r="D286" s="57"/>
      <c r="E286" s="31"/>
      <c r="F286" s="31"/>
      <c r="G286" s="31"/>
      <c r="H286" s="32"/>
      <c r="I286" s="33"/>
      <c r="J286" s="32"/>
      <c r="K286" s="33"/>
      <c r="L286" s="32"/>
      <c r="M286" s="30"/>
      <c r="N286" s="30"/>
      <c r="O286" s="31"/>
      <c r="P286" s="32"/>
      <c r="Q286" s="30"/>
      <c r="R286" s="31"/>
      <c r="S286" s="30"/>
      <c r="T286" s="30"/>
      <c r="U286" s="33"/>
      <c r="V286" s="32"/>
      <c r="W286" s="30"/>
      <c r="X286" s="30"/>
      <c r="Y286" s="30"/>
      <c r="Z286" s="30"/>
      <c r="AA286" s="31"/>
      <c r="AB286" s="32"/>
      <c r="AC286" s="30"/>
      <c r="AD286" s="31"/>
      <c r="AE286" s="30"/>
      <c r="AF286" s="30"/>
      <c r="AG286" s="33"/>
      <c r="AH286" s="32"/>
      <c r="AI286" s="30"/>
      <c r="AJ286" s="30"/>
    </row>
    <row x14ac:dyDescent="0.25" r="287" customHeight="1" ht="17.25">
      <c r="A287" s="33"/>
      <c r="B287" s="31"/>
      <c r="C287" s="31"/>
      <c r="D287" s="57"/>
      <c r="E287" s="31"/>
      <c r="F287" s="31"/>
      <c r="G287" s="31"/>
      <c r="H287" s="32"/>
      <c r="I287" s="33"/>
      <c r="J287" s="32"/>
      <c r="K287" s="33"/>
      <c r="L287" s="32"/>
      <c r="M287" s="30"/>
      <c r="N287" s="30"/>
      <c r="O287" s="31"/>
      <c r="P287" s="32"/>
      <c r="Q287" s="30"/>
      <c r="R287" s="31"/>
      <c r="S287" s="30"/>
      <c r="T287" s="30"/>
      <c r="U287" s="33"/>
      <c r="V287" s="32"/>
      <c r="W287" s="30"/>
      <c r="X287" s="30"/>
      <c r="Y287" s="30"/>
      <c r="Z287" s="30"/>
      <c r="AA287" s="31"/>
      <c r="AB287" s="32"/>
      <c r="AC287" s="30"/>
      <c r="AD287" s="31"/>
      <c r="AE287" s="30"/>
      <c r="AF287" s="30"/>
      <c r="AG287" s="33"/>
      <c r="AH287" s="32"/>
      <c r="AI287" s="30"/>
      <c r="AJ287" s="30"/>
    </row>
    <row x14ac:dyDescent="0.25" r="288" customHeight="1" ht="17.25">
      <c r="A288" s="33"/>
      <c r="B288" s="31"/>
      <c r="C288" s="31"/>
      <c r="D288" s="57"/>
      <c r="E288" s="31"/>
      <c r="F288" s="31"/>
      <c r="G288" s="31"/>
      <c r="H288" s="32"/>
      <c r="I288" s="33"/>
      <c r="J288" s="32"/>
      <c r="K288" s="33"/>
      <c r="L288" s="32"/>
      <c r="M288" s="30"/>
      <c r="N288" s="30"/>
      <c r="O288" s="31"/>
      <c r="P288" s="32"/>
      <c r="Q288" s="30"/>
      <c r="R288" s="31"/>
      <c r="S288" s="30"/>
      <c r="T288" s="30"/>
      <c r="U288" s="33"/>
      <c r="V288" s="32"/>
      <c r="W288" s="30"/>
      <c r="X288" s="30"/>
      <c r="Y288" s="30"/>
      <c r="Z288" s="30"/>
      <c r="AA288" s="31"/>
      <c r="AB288" s="32"/>
      <c r="AC288" s="30"/>
      <c r="AD288" s="31"/>
      <c r="AE288" s="30"/>
      <c r="AF288" s="30"/>
      <c r="AG288" s="33"/>
      <c r="AH288" s="32"/>
      <c r="AI288" s="30"/>
      <c r="AJ288" s="30"/>
    </row>
    <row x14ac:dyDescent="0.25" r="289" customHeight="1" ht="17.25">
      <c r="A289" s="33"/>
      <c r="B289" s="31"/>
      <c r="C289" s="31"/>
      <c r="D289" s="57"/>
      <c r="E289" s="31"/>
      <c r="F289" s="31"/>
      <c r="G289" s="31"/>
      <c r="H289" s="32"/>
      <c r="I289" s="33"/>
      <c r="J289" s="32"/>
      <c r="K289" s="33"/>
      <c r="L289" s="32"/>
      <c r="M289" s="30"/>
      <c r="N289" s="30"/>
      <c r="O289" s="31"/>
      <c r="P289" s="32"/>
      <c r="Q289" s="30"/>
      <c r="R289" s="31"/>
      <c r="S289" s="30"/>
      <c r="T289" s="30"/>
      <c r="U289" s="33"/>
      <c r="V289" s="32"/>
      <c r="W289" s="30"/>
      <c r="X289" s="30"/>
      <c r="Y289" s="30"/>
      <c r="Z289" s="30"/>
      <c r="AA289" s="31"/>
      <c r="AB289" s="32"/>
      <c r="AC289" s="30"/>
      <c r="AD289" s="31"/>
      <c r="AE289" s="30"/>
      <c r="AF289" s="30"/>
      <c r="AG289" s="33"/>
      <c r="AH289" s="32"/>
      <c r="AI289" s="30"/>
      <c r="AJ289" s="30"/>
    </row>
    <row x14ac:dyDescent="0.25" r="290" customHeight="1" ht="17.25">
      <c r="A290" s="33"/>
      <c r="B290" s="31"/>
      <c r="C290" s="31"/>
      <c r="D290" s="57"/>
      <c r="E290" s="31"/>
      <c r="F290" s="31"/>
      <c r="G290" s="31"/>
      <c r="H290" s="32"/>
      <c r="I290" s="33"/>
      <c r="J290" s="32"/>
      <c r="K290" s="33"/>
      <c r="L290" s="32"/>
      <c r="M290" s="30"/>
      <c r="N290" s="30"/>
      <c r="O290" s="31"/>
      <c r="P290" s="32"/>
      <c r="Q290" s="30"/>
      <c r="R290" s="31"/>
      <c r="S290" s="30"/>
      <c r="T290" s="30"/>
      <c r="U290" s="33"/>
      <c r="V290" s="32"/>
      <c r="W290" s="30"/>
      <c r="X290" s="30"/>
      <c r="Y290" s="30"/>
      <c r="Z290" s="30"/>
      <c r="AA290" s="31"/>
      <c r="AB290" s="32"/>
      <c r="AC290" s="30"/>
      <c r="AD290" s="31"/>
      <c r="AE290" s="30"/>
      <c r="AF290" s="30"/>
      <c r="AG290" s="33"/>
      <c r="AH290" s="32"/>
      <c r="AI290" s="30"/>
      <c r="AJ290" s="30"/>
    </row>
    <row x14ac:dyDescent="0.25" r="291" customHeight="1" ht="17.25">
      <c r="A291" s="33"/>
      <c r="B291" s="31"/>
      <c r="C291" s="31"/>
      <c r="D291" s="57"/>
      <c r="E291" s="31"/>
      <c r="F291" s="31"/>
      <c r="G291" s="31"/>
      <c r="H291" s="32"/>
      <c r="I291" s="33"/>
      <c r="J291" s="32"/>
      <c r="K291" s="33"/>
      <c r="L291" s="32"/>
      <c r="M291" s="30"/>
      <c r="N291" s="30"/>
      <c r="O291" s="31"/>
      <c r="P291" s="32"/>
      <c r="Q291" s="30"/>
      <c r="R291" s="31"/>
      <c r="S291" s="30"/>
      <c r="T291" s="30"/>
      <c r="U291" s="33"/>
      <c r="V291" s="32"/>
      <c r="W291" s="30"/>
      <c r="X291" s="30"/>
      <c r="Y291" s="30"/>
      <c r="Z291" s="30"/>
      <c r="AA291" s="31"/>
      <c r="AB291" s="32"/>
      <c r="AC291" s="30"/>
      <c r="AD291" s="31"/>
      <c r="AE291" s="30"/>
      <c r="AF291" s="30"/>
      <c r="AG291" s="33"/>
      <c r="AH291" s="32"/>
      <c r="AI291" s="30"/>
      <c r="AJ291" s="30"/>
    </row>
    <row x14ac:dyDescent="0.25" r="292" customHeight="1" ht="17.25">
      <c r="A292" s="33"/>
      <c r="B292" s="31"/>
      <c r="C292" s="31"/>
      <c r="D292" s="57"/>
      <c r="E292" s="31"/>
      <c r="F292" s="31"/>
      <c r="G292" s="31"/>
      <c r="H292" s="32"/>
      <c r="I292" s="33"/>
      <c r="J292" s="32"/>
      <c r="K292" s="33"/>
      <c r="L292" s="32"/>
      <c r="M292" s="30"/>
      <c r="N292" s="30"/>
      <c r="O292" s="31"/>
      <c r="P292" s="32"/>
      <c r="Q292" s="30"/>
      <c r="R292" s="31"/>
      <c r="S292" s="30"/>
      <c r="T292" s="30"/>
      <c r="U292" s="33"/>
      <c r="V292" s="32"/>
      <c r="W292" s="30"/>
      <c r="X292" s="30"/>
      <c r="Y292" s="30"/>
      <c r="Z292" s="30"/>
      <c r="AA292" s="31"/>
      <c r="AB292" s="32"/>
      <c r="AC292" s="30"/>
      <c r="AD292" s="31"/>
      <c r="AE292" s="30"/>
      <c r="AF292" s="30"/>
      <c r="AG292" s="33"/>
      <c r="AH292" s="32"/>
      <c r="AI292" s="30"/>
      <c r="AJ292" s="30"/>
    </row>
    <row x14ac:dyDescent="0.25" r="293" customHeight="1" ht="17.25">
      <c r="A293" s="33"/>
      <c r="B293" s="31"/>
      <c r="C293" s="31"/>
      <c r="D293" s="57"/>
      <c r="E293" s="31"/>
      <c r="F293" s="31"/>
      <c r="G293" s="31"/>
      <c r="H293" s="32"/>
      <c r="I293" s="33"/>
      <c r="J293" s="32"/>
      <c r="K293" s="33"/>
      <c r="L293" s="32"/>
      <c r="M293" s="30"/>
      <c r="N293" s="30"/>
      <c r="O293" s="31"/>
      <c r="P293" s="32"/>
      <c r="Q293" s="30"/>
      <c r="R293" s="31"/>
      <c r="S293" s="30"/>
      <c r="T293" s="30"/>
      <c r="U293" s="33"/>
      <c r="V293" s="32"/>
      <c r="W293" s="30"/>
      <c r="X293" s="30"/>
      <c r="Y293" s="30"/>
      <c r="Z293" s="30"/>
      <c r="AA293" s="31"/>
      <c r="AB293" s="32"/>
      <c r="AC293" s="30"/>
      <c r="AD293" s="31"/>
      <c r="AE293" s="30"/>
      <c r="AF293" s="30"/>
      <c r="AG293" s="33"/>
      <c r="AH293" s="32"/>
      <c r="AI293" s="30"/>
      <c r="AJ293" s="30"/>
    </row>
    <row x14ac:dyDescent="0.25" r="294" customHeight="1" ht="17.25">
      <c r="A294" s="33"/>
      <c r="B294" s="31"/>
      <c r="C294" s="31"/>
      <c r="D294" s="57"/>
      <c r="E294" s="31"/>
      <c r="F294" s="31"/>
      <c r="G294" s="31"/>
      <c r="H294" s="32"/>
      <c r="I294" s="33"/>
      <c r="J294" s="32"/>
      <c r="K294" s="33"/>
      <c r="L294" s="32"/>
      <c r="M294" s="30"/>
      <c r="N294" s="30"/>
      <c r="O294" s="31"/>
      <c r="P294" s="32"/>
      <c r="Q294" s="30"/>
      <c r="R294" s="31"/>
      <c r="S294" s="30"/>
      <c r="T294" s="30"/>
      <c r="U294" s="33"/>
      <c r="V294" s="32"/>
      <c r="W294" s="30"/>
      <c r="X294" s="30"/>
      <c r="Y294" s="30"/>
      <c r="Z294" s="30"/>
      <c r="AA294" s="31"/>
      <c r="AB294" s="32"/>
      <c r="AC294" s="30"/>
      <c r="AD294" s="31"/>
      <c r="AE294" s="30"/>
      <c r="AF294" s="30"/>
      <c r="AG294" s="33"/>
      <c r="AH294" s="32"/>
      <c r="AI294" s="30"/>
      <c r="AJ294" s="30"/>
    </row>
    <row x14ac:dyDescent="0.25" r="295" customHeight="1" ht="17.25">
      <c r="A295" s="33"/>
      <c r="B295" s="31"/>
      <c r="C295" s="31"/>
      <c r="D295" s="57"/>
      <c r="E295" s="31"/>
      <c r="F295" s="31"/>
      <c r="G295" s="31"/>
      <c r="H295" s="32"/>
      <c r="I295" s="33"/>
      <c r="J295" s="32"/>
      <c r="K295" s="33"/>
      <c r="L295" s="32"/>
      <c r="M295" s="30"/>
      <c r="N295" s="30"/>
      <c r="O295" s="31"/>
      <c r="P295" s="32"/>
      <c r="Q295" s="30"/>
      <c r="R295" s="31"/>
      <c r="S295" s="30"/>
      <c r="T295" s="30"/>
      <c r="U295" s="33"/>
      <c r="V295" s="32"/>
      <c r="W295" s="30"/>
      <c r="X295" s="30"/>
      <c r="Y295" s="30"/>
      <c r="Z295" s="30"/>
      <c r="AA295" s="31"/>
      <c r="AB295" s="32"/>
      <c r="AC295" s="30"/>
      <c r="AD295" s="31"/>
      <c r="AE295" s="30"/>
      <c r="AF295" s="30"/>
      <c r="AG295" s="33"/>
      <c r="AH295" s="32"/>
      <c r="AI295" s="30"/>
      <c r="AJ295" s="30"/>
    </row>
    <row x14ac:dyDescent="0.25" r="296" customHeight="1" ht="17.25">
      <c r="A296" s="33"/>
      <c r="B296" s="31"/>
      <c r="C296" s="31"/>
      <c r="D296" s="57"/>
      <c r="E296" s="31"/>
      <c r="F296" s="31"/>
      <c r="G296" s="31"/>
      <c r="H296" s="32"/>
      <c r="I296" s="33"/>
      <c r="J296" s="32"/>
      <c r="K296" s="33"/>
      <c r="L296" s="32"/>
      <c r="M296" s="30"/>
      <c r="N296" s="30"/>
      <c r="O296" s="31"/>
      <c r="P296" s="32"/>
      <c r="Q296" s="30"/>
      <c r="R296" s="31"/>
      <c r="S296" s="30"/>
      <c r="T296" s="30"/>
      <c r="U296" s="33"/>
      <c r="V296" s="32"/>
      <c r="W296" s="30"/>
      <c r="X296" s="30"/>
      <c r="Y296" s="30"/>
      <c r="Z296" s="30"/>
      <c r="AA296" s="31"/>
      <c r="AB296" s="32"/>
      <c r="AC296" s="30"/>
      <c r="AD296" s="31"/>
      <c r="AE296" s="30"/>
      <c r="AF296" s="30"/>
      <c r="AG296" s="33"/>
      <c r="AH296" s="32"/>
      <c r="AI296" s="30"/>
      <c r="AJ296" s="30"/>
    </row>
    <row x14ac:dyDescent="0.25" r="297" customHeight="1" ht="17.25">
      <c r="A297" s="33"/>
      <c r="B297" s="31"/>
      <c r="C297" s="31"/>
      <c r="D297" s="57"/>
      <c r="E297" s="31"/>
      <c r="F297" s="31"/>
      <c r="G297" s="31"/>
      <c r="H297" s="32"/>
      <c r="I297" s="33"/>
      <c r="J297" s="32"/>
      <c r="K297" s="33"/>
      <c r="L297" s="32"/>
      <c r="M297" s="30"/>
      <c r="N297" s="30"/>
      <c r="O297" s="31"/>
      <c r="P297" s="32"/>
      <c r="Q297" s="30"/>
      <c r="R297" s="31"/>
      <c r="S297" s="30"/>
      <c r="T297" s="30"/>
      <c r="U297" s="33"/>
      <c r="V297" s="32"/>
      <c r="W297" s="30"/>
      <c r="X297" s="30"/>
      <c r="Y297" s="30"/>
      <c r="Z297" s="30"/>
      <c r="AA297" s="31"/>
      <c r="AB297" s="32"/>
      <c r="AC297" s="30"/>
      <c r="AD297" s="31"/>
      <c r="AE297" s="30"/>
      <c r="AF297" s="30"/>
      <c r="AG297" s="33"/>
      <c r="AH297" s="32"/>
      <c r="AI297" s="30"/>
      <c r="AJ297" s="30"/>
    </row>
    <row x14ac:dyDescent="0.25" r="298" customHeight="1" ht="17.25">
      <c r="A298" s="33"/>
      <c r="B298" s="31"/>
      <c r="C298" s="31"/>
      <c r="D298" s="57"/>
      <c r="E298" s="31"/>
      <c r="F298" s="31"/>
      <c r="G298" s="31"/>
      <c r="H298" s="32"/>
      <c r="I298" s="33"/>
      <c r="J298" s="32"/>
      <c r="K298" s="33"/>
      <c r="L298" s="32"/>
      <c r="M298" s="30"/>
      <c r="N298" s="30"/>
      <c r="O298" s="31"/>
      <c r="P298" s="32"/>
      <c r="Q298" s="30"/>
      <c r="R298" s="31"/>
      <c r="S298" s="30"/>
      <c r="T298" s="30"/>
      <c r="U298" s="33"/>
      <c r="V298" s="32"/>
      <c r="W298" s="30"/>
      <c r="X298" s="30"/>
      <c r="Y298" s="30"/>
      <c r="Z298" s="30"/>
      <c r="AA298" s="31"/>
      <c r="AB298" s="32"/>
      <c r="AC298" s="30"/>
      <c r="AD298" s="31"/>
      <c r="AE298" s="30"/>
      <c r="AF298" s="30"/>
      <c r="AG298" s="33"/>
      <c r="AH298" s="32"/>
      <c r="AI298" s="30"/>
      <c r="AJ298" s="30"/>
    </row>
    <row x14ac:dyDescent="0.25" r="299" customHeight="1" ht="17.25">
      <c r="A299" s="33"/>
      <c r="B299" s="31"/>
      <c r="C299" s="31"/>
      <c r="D299" s="57"/>
      <c r="E299" s="31"/>
      <c r="F299" s="31"/>
      <c r="G299" s="31"/>
      <c r="H299" s="32"/>
      <c r="I299" s="33"/>
      <c r="J299" s="32"/>
      <c r="K299" s="33"/>
      <c r="L299" s="32"/>
      <c r="M299" s="30"/>
      <c r="N299" s="30"/>
      <c r="O299" s="31"/>
      <c r="P299" s="32"/>
      <c r="Q299" s="30"/>
      <c r="R299" s="31"/>
      <c r="S299" s="30"/>
      <c r="T299" s="30"/>
      <c r="U299" s="33"/>
      <c r="V299" s="32"/>
      <c r="W299" s="30"/>
      <c r="X299" s="30"/>
      <c r="Y299" s="30"/>
      <c r="Z299" s="30"/>
      <c r="AA299" s="31"/>
      <c r="AB299" s="32"/>
      <c r="AC299" s="30"/>
      <c r="AD299" s="31"/>
      <c r="AE299" s="30"/>
      <c r="AF299" s="30"/>
      <c r="AG299" s="33"/>
      <c r="AH299" s="32"/>
      <c r="AI299" s="30"/>
      <c r="AJ299" s="30"/>
    </row>
    <row x14ac:dyDescent="0.25" r="300" customHeight="1" ht="17.25">
      <c r="A300" s="33"/>
      <c r="B300" s="31"/>
      <c r="C300" s="31"/>
      <c r="D300" s="57"/>
      <c r="E300" s="31"/>
      <c r="F300" s="31"/>
      <c r="G300" s="31"/>
      <c r="H300" s="32"/>
      <c r="I300" s="33"/>
      <c r="J300" s="32"/>
      <c r="K300" s="33"/>
      <c r="L300" s="32"/>
      <c r="M300" s="30"/>
      <c r="N300" s="30"/>
      <c r="O300" s="31"/>
      <c r="P300" s="32"/>
      <c r="Q300" s="30"/>
      <c r="R300" s="31"/>
      <c r="S300" s="30"/>
      <c r="T300" s="30"/>
      <c r="U300" s="33"/>
      <c r="V300" s="32"/>
      <c r="W300" s="30"/>
      <c r="X300" s="30"/>
      <c r="Y300" s="30"/>
      <c r="Z300" s="30"/>
      <c r="AA300" s="31"/>
      <c r="AB300" s="32"/>
      <c r="AC300" s="30"/>
      <c r="AD300" s="31"/>
      <c r="AE300" s="30"/>
      <c r="AF300" s="30"/>
      <c r="AG300" s="33"/>
      <c r="AH300" s="32"/>
      <c r="AI300" s="30"/>
      <c r="AJ300" s="30"/>
    </row>
    <row x14ac:dyDescent="0.25" r="301" customHeight="1" ht="17.25">
      <c r="A301" s="33"/>
      <c r="B301" s="31"/>
      <c r="C301" s="31"/>
      <c r="D301" s="57"/>
      <c r="E301" s="31"/>
      <c r="F301" s="31"/>
      <c r="G301" s="31"/>
      <c r="H301" s="32"/>
      <c r="I301" s="33"/>
      <c r="J301" s="32"/>
      <c r="K301" s="33"/>
      <c r="L301" s="32"/>
      <c r="M301" s="30"/>
      <c r="N301" s="30"/>
      <c r="O301" s="31"/>
      <c r="P301" s="32"/>
      <c r="Q301" s="30"/>
      <c r="R301" s="31"/>
      <c r="S301" s="30"/>
      <c r="T301" s="30"/>
      <c r="U301" s="33"/>
      <c r="V301" s="32"/>
      <c r="W301" s="30"/>
      <c r="X301" s="30"/>
      <c r="Y301" s="30"/>
      <c r="Z301" s="30"/>
      <c r="AA301" s="31"/>
      <c r="AB301" s="32"/>
      <c r="AC301" s="30"/>
      <c r="AD301" s="31"/>
      <c r="AE301" s="30"/>
      <c r="AF301" s="30"/>
      <c r="AG301" s="33"/>
      <c r="AH301" s="32"/>
      <c r="AI301" s="30"/>
      <c r="AJ301" s="30"/>
    </row>
    <row x14ac:dyDescent="0.25" r="302" customHeight="1" ht="17.25">
      <c r="A302" s="33"/>
      <c r="B302" s="31"/>
      <c r="C302" s="31"/>
      <c r="D302" s="57"/>
      <c r="E302" s="31"/>
      <c r="F302" s="31"/>
      <c r="G302" s="31"/>
      <c r="H302" s="32"/>
      <c r="I302" s="33"/>
      <c r="J302" s="32"/>
      <c r="K302" s="33"/>
      <c r="L302" s="32"/>
      <c r="M302" s="30"/>
      <c r="N302" s="30"/>
      <c r="O302" s="31"/>
      <c r="P302" s="32"/>
      <c r="Q302" s="30"/>
      <c r="R302" s="31"/>
      <c r="S302" s="30"/>
      <c r="T302" s="30"/>
      <c r="U302" s="33"/>
      <c r="V302" s="32"/>
      <c r="W302" s="30"/>
      <c r="X302" s="30"/>
      <c r="Y302" s="30"/>
      <c r="Z302" s="30"/>
      <c r="AA302" s="31"/>
      <c r="AB302" s="32"/>
      <c r="AC302" s="30"/>
      <c r="AD302" s="31"/>
      <c r="AE302" s="30"/>
      <c r="AF302" s="30"/>
      <c r="AG302" s="33"/>
      <c r="AH302" s="32"/>
      <c r="AI302" s="30"/>
      <c r="AJ302" s="30"/>
    </row>
    <row x14ac:dyDescent="0.25" r="303" customHeight="1" ht="17.25">
      <c r="A303" s="33"/>
      <c r="B303" s="31"/>
      <c r="C303" s="31"/>
      <c r="D303" s="57"/>
      <c r="E303" s="31"/>
      <c r="F303" s="31"/>
      <c r="G303" s="31"/>
      <c r="H303" s="32"/>
      <c r="I303" s="33"/>
      <c r="J303" s="32"/>
      <c r="K303" s="33"/>
      <c r="L303" s="32"/>
      <c r="M303" s="30"/>
      <c r="N303" s="30"/>
      <c r="O303" s="31"/>
      <c r="P303" s="32"/>
      <c r="Q303" s="30"/>
      <c r="R303" s="31"/>
      <c r="S303" s="30"/>
      <c r="T303" s="30"/>
      <c r="U303" s="33"/>
      <c r="V303" s="32"/>
      <c r="W303" s="30"/>
      <c r="X303" s="30"/>
      <c r="Y303" s="30"/>
      <c r="Z303" s="30"/>
      <c r="AA303" s="31"/>
      <c r="AB303" s="32"/>
      <c r="AC303" s="30"/>
      <c r="AD303" s="31"/>
      <c r="AE303" s="30"/>
      <c r="AF303" s="30"/>
      <c r="AG303" s="33"/>
      <c r="AH303" s="32"/>
      <c r="AI303" s="30"/>
      <c r="AJ303" s="30"/>
    </row>
    <row x14ac:dyDescent="0.25" r="304" customHeight="1" ht="17.25">
      <c r="A304" s="33"/>
      <c r="B304" s="31"/>
      <c r="C304" s="31"/>
      <c r="D304" s="57"/>
      <c r="E304" s="31"/>
      <c r="F304" s="31"/>
      <c r="G304" s="31"/>
      <c r="H304" s="32"/>
      <c r="I304" s="33"/>
      <c r="J304" s="32"/>
      <c r="K304" s="33"/>
      <c r="L304" s="32"/>
      <c r="M304" s="30"/>
      <c r="N304" s="30"/>
      <c r="O304" s="31"/>
      <c r="P304" s="32"/>
      <c r="Q304" s="30"/>
      <c r="R304" s="31"/>
      <c r="S304" s="30"/>
      <c r="T304" s="30"/>
      <c r="U304" s="33"/>
      <c r="V304" s="32"/>
      <c r="W304" s="30"/>
      <c r="X304" s="30"/>
      <c r="Y304" s="30"/>
      <c r="Z304" s="30"/>
      <c r="AA304" s="31"/>
      <c r="AB304" s="32"/>
      <c r="AC304" s="30"/>
      <c r="AD304" s="31"/>
      <c r="AE304" s="30"/>
      <c r="AF304" s="30"/>
      <c r="AG304" s="33"/>
      <c r="AH304" s="32"/>
      <c r="AI304" s="30"/>
      <c r="AJ304" s="30"/>
    </row>
    <row x14ac:dyDescent="0.25" r="305" customHeight="1" ht="17.25">
      <c r="A305" s="33"/>
      <c r="B305" s="31"/>
      <c r="C305" s="31"/>
      <c r="D305" s="57"/>
      <c r="E305" s="31"/>
      <c r="F305" s="31"/>
      <c r="G305" s="31"/>
      <c r="H305" s="32"/>
      <c r="I305" s="33"/>
      <c r="J305" s="32"/>
      <c r="K305" s="33"/>
      <c r="L305" s="32"/>
      <c r="M305" s="30"/>
      <c r="N305" s="30"/>
      <c r="O305" s="31"/>
      <c r="P305" s="32"/>
      <c r="Q305" s="30"/>
      <c r="R305" s="31"/>
      <c r="S305" s="30"/>
      <c r="T305" s="30"/>
      <c r="U305" s="33"/>
      <c r="V305" s="32"/>
      <c r="W305" s="30"/>
      <c r="X305" s="30"/>
      <c r="Y305" s="30"/>
      <c r="Z305" s="30"/>
      <c r="AA305" s="31"/>
      <c r="AB305" s="32"/>
      <c r="AC305" s="30"/>
      <c r="AD305" s="31"/>
      <c r="AE305" s="30"/>
      <c r="AF305" s="30"/>
      <c r="AG305" s="33"/>
      <c r="AH305" s="32"/>
      <c r="AI305" s="30"/>
      <c r="AJ305" s="30"/>
    </row>
    <row x14ac:dyDescent="0.25" r="306" customHeight="1" ht="17.25">
      <c r="A306" s="33"/>
      <c r="B306" s="31"/>
      <c r="C306" s="31"/>
      <c r="D306" s="57"/>
      <c r="E306" s="31"/>
      <c r="F306" s="31"/>
      <c r="G306" s="31"/>
      <c r="H306" s="32"/>
      <c r="I306" s="33"/>
      <c r="J306" s="32"/>
      <c r="K306" s="33"/>
      <c r="L306" s="32"/>
      <c r="M306" s="30"/>
      <c r="N306" s="30"/>
      <c r="O306" s="31"/>
      <c r="P306" s="32"/>
      <c r="Q306" s="30"/>
      <c r="R306" s="31"/>
      <c r="S306" s="30"/>
      <c r="T306" s="30"/>
      <c r="U306" s="33"/>
      <c r="V306" s="32"/>
      <c r="W306" s="30"/>
      <c r="X306" s="30"/>
      <c r="Y306" s="30"/>
      <c r="Z306" s="30"/>
      <c r="AA306" s="31"/>
      <c r="AB306" s="32"/>
      <c r="AC306" s="30"/>
      <c r="AD306" s="31"/>
      <c r="AE306" s="30"/>
      <c r="AF306" s="30"/>
      <c r="AG306" s="33"/>
      <c r="AH306" s="32"/>
      <c r="AI306" s="30"/>
      <c r="AJ306" s="30"/>
    </row>
    <row x14ac:dyDescent="0.25" r="307" customHeight="1" ht="17.25">
      <c r="A307" s="33"/>
      <c r="B307" s="31"/>
      <c r="C307" s="31"/>
      <c r="D307" s="57"/>
      <c r="E307" s="31"/>
      <c r="F307" s="31"/>
      <c r="G307" s="31"/>
      <c r="H307" s="32"/>
      <c r="I307" s="33"/>
      <c r="J307" s="32"/>
      <c r="K307" s="33"/>
      <c r="L307" s="32"/>
      <c r="M307" s="30"/>
      <c r="N307" s="30"/>
      <c r="O307" s="31"/>
      <c r="P307" s="32"/>
      <c r="Q307" s="30"/>
      <c r="R307" s="31"/>
      <c r="S307" s="30"/>
      <c r="T307" s="30"/>
      <c r="U307" s="33"/>
      <c r="V307" s="32"/>
      <c r="W307" s="30"/>
      <c r="X307" s="30"/>
      <c r="Y307" s="30"/>
      <c r="Z307" s="30"/>
      <c r="AA307" s="31"/>
      <c r="AB307" s="32"/>
      <c r="AC307" s="30"/>
      <c r="AD307" s="31"/>
      <c r="AE307" s="30"/>
      <c r="AF307" s="30"/>
      <c r="AG307" s="33"/>
      <c r="AH307" s="32"/>
      <c r="AI307" s="30"/>
      <c r="AJ307" s="30"/>
    </row>
    <row x14ac:dyDescent="0.25" r="308" customHeight="1" ht="17.25">
      <c r="A308" s="33"/>
      <c r="B308" s="31"/>
      <c r="C308" s="31"/>
      <c r="D308" s="57"/>
      <c r="E308" s="31"/>
      <c r="F308" s="31"/>
      <c r="G308" s="31"/>
      <c r="H308" s="32"/>
      <c r="I308" s="33"/>
      <c r="J308" s="32"/>
      <c r="K308" s="33"/>
      <c r="L308" s="32"/>
      <c r="M308" s="30"/>
      <c r="N308" s="30"/>
      <c r="O308" s="31"/>
      <c r="P308" s="32"/>
      <c r="Q308" s="30"/>
      <c r="R308" s="31"/>
      <c r="S308" s="30"/>
      <c r="T308" s="30"/>
      <c r="U308" s="33"/>
      <c r="V308" s="32"/>
      <c r="W308" s="30"/>
      <c r="X308" s="30"/>
      <c r="Y308" s="30"/>
      <c r="Z308" s="30"/>
      <c r="AA308" s="31"/>
      <c r="AB308" s="32"/>
      <c r="AC308" s="30"/>
      <c r="AD308" s="31"/>
      <c r="AE308" s="30"/>
      <c r="AF308" s="30"/>
      <c r="AG308" s="33"/>
      <c r="AH308" s="32"/>
      <c r="AI308" s="30"/>
      <c r="AJ308" s="30"/>
    </row>
    <row x14ac:dyDescent="0.25" r="309" customHeight="1" ht="17.25">
      <c r="A309" s="33"/>
      <c r="B309" s="31"/>
      <c r="C309" s="31"/>
      <c r="D309" s="57"/>
      <c r="E309" s="31"/>
      <c r="F309" s="31"/>
      <c r="G309" s="31"/>
      <c r="H309" s="32"/>
      <c r="I309" s="33"/>
      <c r="J309" s="32"/>
      <c r="K309" s="33"/>
      <c r="L309" s="32"/>
      <c r="M309" s="30"/>
      <c r="N309" s="30"/>
      <c r="O309" s="31"/>
      <c r="P309" s="32"/>
      <c r="Q309" s="30"/>
      <c r="R309" s="31"/>
      <c r="S309" s="30"/>
      <c r="T309" s="30"/>
      <c r="U309" s="33"/>
      <c r="V309" s="32"/>
      <c r="W309" s="30"/>
      <c r="X309" s="30"/>
      <c r="Y309" s="30"/>
      <c r="Z309" s="30"/>
      <c r="AA309" s="31"/>
      <c r="AB309" s="32"/>
      <c r="AC309" s="30"/>
      <c r="AD309" s="31"/>
      <c r="AE309" s="30"/>
      <c r="AF309" s="30"/>
      <c r="AG309" s="33"/>
      <c r="AH309" s="32"/>
      <c r="AI309" s="30"/>
      <c r="AJ309" s="30"/>
    </row>
    <row x14ac:dyDescent="0.25" r="310" customHeight="1" ht="17.25">
      <c r="A310" s="33"/>
      <c r="B310" s="31"/>
      <c r="C310" s="31"/>
      <c r="D310" s="57"/>
      <c r="E310" s="31"/>
      <c r="F310" s="31"/>
      <c r="G310" s="31"/>
      <c r="H310" s="32"/>
      <c r="I310" s="33"/>
      <c r="J310" s="32"/>
      <c r="K310" s="33"/>
      <c r="L310" s="32"/>
      <c r="M310" s="30"/>
      <c r="N310" s="30"/>
      <c r="O310" s="31"/>
      <c r="P310" s="32"/>
      <c r="Q310" s="30"/>
      <c r="R310" s="31"/>
      <c r="S310" s="30"/>
      <c r="T310" s="30"/>
      <c r="U310" s="33"/>
      <c r="V310" s="32"/>
      <c r="W310" s="30"/>
      <c r="X310" s="30"/>
      <c r="Y310" s="30"/>
      <c r="Z310" s="30"/>
      <c r="AA310" s="31"/>
      <c r="AB310" s="32"/>
      <c r="AC310" s="30"/>
      <c r="AD310" s="31"/>
      <c r="AE310" s="30"/>
      <c r="AF310" s="30"/>
      <c r="AG310" s="33"/>
      <c r="AH310" s="32"/>
      <c r="AI310" s="30"/>
      <c r="AJ310" s="30"/>
    </row>
    <row x14ac:dyDescent="0.25" r="311" customHeight="1" ht="17.25">
      <c r="A311" s="33"/>
      <c r="B311" s="31"/>
      <c r="C311" s="31"/>
      <c r="D311" s="57"/>
      <c r="E311" s="31"/>
      <c r="F311" s="31"/>
      <c r="G311" s="31"/>
      <c r="H311" s="32"/>
      <c r="I311" s="33"/>
      <c r="J311" s="32"/>
      <c r="K311" s="33"/>
      <c r="L311" s="32"/>
      <c r="M311" s="30"/>
      <c r="N311" s="30"/>
      <c r="O311" s="31"/>
      <c r="P311" s="32"/>
      <c r="Q311" s="30"/>
      <c r="R311" s="31"/>
      <c r="S311" s="30"/>
      <c r="T311" s="30"/>
      <c r="U311" s="33"/>
      <c r="V311" s="32"/>
      <c r="W311" s="30"/>
      <c r="X311" s="30"/>
      <c r="Y311" s="30"/>
      <c r="Z311" s="30"/>
      <c r="AA311" s="31"/>
      <c r="AB311" s="32"/>
      <c r="AC311" s="30"/>
      <c r="AD311" s="31"/>
      <c r="AE311" s="30"/>
      <c r="AF311" s="30"/>
      <c r="AG311" s="33"/>
      <c r="AH311" s="32"/>
      <c r="AI311" s="30"/>
      <c r="AJ311" s="30"/>
    </row>
    <row x14ac:dyDescent="0.25" r="312" customHeight="1" ht="17.25">
      <c r="A312" s="33"/>
      <c r="B312" s="31"/>
      <c r="C312" s="31"/>
      <c r="D312" s="57"/>
      <c r="E312" s="31"/>
      <c r="F312" s="31"/>
      <c r="G312" s="31"/>
      <c r="H312" s="32"/>
      <c r="I312" s="33"/>
      <c r="J312" s="32"/>
      <c r="K312" s="33"/>
      <c r="L312" s="32"/>
      <c r="M312" s="30"/>
      <c r="N312" s="30"/>
      <c r="O312" s="31"/>
      <c r="P312" s="32"/>
      <c r="Q312" s="30"/>
      <c r="R312" s="31"/>
      <c r="S312" s="30"/>
      <c r="T312" s="30"/>
      <c r="U312" s="33"/>
      <c r="V312" s="32"/>
      <c r="W312" s="30"/>
      <c r="X312" s="30"/>
      <c r="Y312" s="30"/>
      <c r="Z312" s="30"/>
      <c r="AA312" s="31"/>
      <c r="AB312" s="32"/>
      <c r="AC312" s="30"/>
      <c r="AD312" s="31"/>
      <c r="AE312" s="30"/>
      <c r="AF312" s="30"/>
      <c r="AG312" s="33"/>
      <c r="AH312" s="32"/>
      <c r="AI312" s="30"/>
      <c r="AJ312" s="30"/>
    </row>
    <row x14ac:dyDescent="0.25" r="313" customHeight="1" ht="17.25">
      <c r="A313" s="33"/>
      <c r="B313" s="31"/>
      <c r="C313" s="31"/>
      <c r="D313" s="57"/>
      <c r="E313" s="31"/>
      <c r="F313" s="31"/>
      <c r="G313" s="31"/>
      <c r="H313" s="32"/>
      <c r="I313" s="33"/>
      <c r="J313" s="32"/>
      <c r="K313" s="33"/>
      <c r="L313" s="32"/>
      <c r="M313" s="30"/>
      <c r="N313" s="30"/>
      <c r="O313" s="31"/>
      <c r="P313" s="32"/>
      <c r="Q313" s="30"/>
      <c r="R313" s="31"/>
      <c r="S313" s="30"/>
      <c r="T313" s="30"/>
      <c r="U313" s="33"/>
      <c r="V313" s="32"/>
      <c r="W313" s="30"/>
      <c r="X313" s="30"/>
      <c r="Y313" s="30"/>
      <c r="Z313" s="30"/>
      <c r="AA313" s="31"/>
      <c r="AB313" s="32"/>
      <c r="AC313" s="30"/>
      <c r="AD313" s="31"/>
      <c r="AE313" s="30"/>
      <c r="AF313" s="30"/>
      <c r="AG313" s="33"/>
      <c r="AH313" s="32"/>
      <c r="AI313" s="30"/>
      <c r="AJ313" s="30"/>
    </row>
    <row x14ac:dyDescent="0.25" r="314" customHeight="1" ht="17.25">
      <c r="A314" s="33"/>
      <c r="B314" s="31"/>
      <c r="C314" s="31"/>
      <c r="D314" s="57"/>
      <c r="E314" s="31"/>
      <c r="F314" s="31"/>
      <c r="G314" s="31"/>
      <c r="H314" s="32"/>
      <c r="I314" s="33"/>
      <c r="J314" s="32"/>
      <c r="K314" s="33"/>
      <c r="L314" s="32"/>
      <c r="M314" s="30"/>
      <c r="N314" s="30"/>
      <c r="O314" s="31"/>
      <c r="P314" s="32"/>
      <c r="Q314" s="30"/>
      <c r="R314" s="31"/>
      <c r="S314" s="30"/>
      <c r="T314" s="30"/>
      <c r="U314" s="33"/>
      <c r="V314" s="32"/>
      <c r="W314" s="30"/>
      <c r="X314" s="30"/>
      <c r="Y314" s="30"/>
      <c r="Z314" s="30"/>
      <c r="AA314" s="31"/>
      <c r="AB314" s="32"/>
      <c r="AC314" s="30"/>
      <c r="AD314" s="31"/>
      <c r="AE314" s="30"/>
      <c r="AF314" s="30"/>
      <c r="AG314" s="33"/>
      <c r="AH314" s="32"/>
      <c r="AI314" s="30"/>
      <c r="AJ314" s="30"/>
    </row>
    <row x14ac:dyDescent="0.25" r="315" customHeight="1" ht="17.25">
      <c r="A315" s="33"/>
      <c r="B315" s="31"/>
      <c r="C315" s="31"/>
      <c r="D315" s="57"/>
      <c r="E315" s="31"/>
      <c r="F315" s="31"/>
      <c r="G315" s="31"/>
      <c r="H315" s="32"/>
      <c r="I315" s="33"/>
      <c r="J315" s="32"/>
      <c r="K315" s="33"/>
      <c r="L315" s="32"/>
      <c r="M315" s="30"/>
      <c r="N315" s="30"/>
      <c r="O315" s="31"/>
      <c r="P315" s="32"/>
      <c r="Q315" s="30"/>
      <c r="R315" s="31"/>
      <c r="S315" s="30"/>
      <c r="T315" s="30"/>
      <c r="U315" s="33"/>
      <c r="V315" s="32"/>
      <c r="W315" s="30"/>
      <c r="X315" s="30"/>
      <c r="Y315" s="30"/>
      <c r="Z315" s="30"/>
      <c r="AA315" s="31"/>
      <c r="AB315" s="32"/>
      <c r="AC315" s="30"/>
      <c r="AD315" s="31"/>
      <c r="AE315" s="30"/>
      <c r="AF315" s="30"/>
      <c r="AG315" s="33"/>
      <c r="AH315" s="32"/>
      <c r="AI315" s="30"/>
      <c r="AJ315" s="30"/>
    </row>
    <row x14ac:dyDescent="0.25" r="316" customHeight="1" ht="17.25">
      <c r="A316" s="33"/>
      <c r="B316" s="31"/>
      <c r="C316" s="31"/>
      <c r="D316" s="57"/>
      <c r="E316" s="31"/>
      <c r="F316" s="31"/>
      <c r="G316" s="31"/>
      <c r="H316" s="32"/>
      <c r="I316" s="33"/>
      <c r="J316" s="32"/>
      <c r="K316" s="33"/>
      <c r="L316" s="32"/>
      <c r="M316" s="30"/>
      <c r="N316" s="30"/>
      <c r="O316" s="31"/>
      <c r="P316" s="32"/>
      <c r="Q316" s="30"/>
      <c r="R316" s="31"/>
      <c r="S316" s="30"/>
      <c r="T316" s="30"/>
      <c r="U316" s="33"/>
      <c r="V316" s="32"/>
      <c r="W316" s="30"/>
      <c r="X316" s="30"/>
      <c r="Y316" s="30"/>
      <c r="Z316" s="30"/>
      <c r="AA316" s="31"/>
      <c r="AB316" s="32"/>
      <c r="AC316" s="30"/>
      <c r="AD316" s="31"/>
      <c r="AE316" s="30"/>
      <c r="AF316" s="30"/>
      <c r="AG316" s="33"/>
      <c r="AH316" s="32"/>
      <c r="AI316" s="30"/>
      <c r="AJ316" s="30"/>
    </row>
    <row x14ac:dyDescent="0.25" r="317" customHeight="1" ht="17.25">
      <c r="A317" s="33"/>
      <c r="B317" s="31"/>
      <c r="C317" s="31"/>
      <c r="D317" s="57"/>
      <c r="E317" s="31"/>
      <c r="F317" s="31"/>
      <c r="G317" s="31"/>
      <c r="H317" s="32"/>
      <c r="I317" s="33"/>
      <c r="J317" s="32"/>
      <c r="K317" s="33"/>
      <c r="L317" s="32"/>
      <c r="M317" s="30"/>
      <c r="N317" s="30"/>
      <c r="O317" s="31"/>
      <c r="P317" s="32"/>
      <c r="Q317" s="30"/>
      <c r="R317" s="31"/>
      <c r="S317" s="30"/>
      <c r="T317" s="30"/>
      <c r="U317" s="33"/>
      <c r="V317" s="32"/>
      <c r="W317" s="30"/>
      <c r="X317" s="30"/>
      <c r="Y317" s="30"/>
      <c r="Z317" s="30"/>
      <c r="AA317" s="31"/>
      <c r="AB317" s="32"/>
      <c r="AC317" s="30"/>
      <c r="AD317" s="31"/>
      <c r="AE317" s="30"/>
      <c r="AF317" s="30"/>
      <c r="AG317" s="33"/>
      <c r="AH317" s="32"/>
      <c r="AI317" s="30"/>
      <c r="AJ317" s="30"/>
    </row>
    <row x14ac:dyDescent="0.25" r="318" customHeight="1" ht="17.25">
      <c r="A318" s="33"/>
      <c r="B318" s="31"/>
      <c r="C318" s="31"/>
      <c r="D318" s="57"/>
      <c r="E318" s="31"/>
      <c r="F318" s="31"/>
      <c r="G318" s="31"/>
      <c r="H318" s="32"/>
      <c r="I318" s="33"/>
      <c r="J318" s="32"/>
      <c r="K318" s="33"/>
      <c r="L318" s="32"/>
      <c r="M318" s="30"/>
      <c r="N318" s="30"/>
      <c r="O318" s="31"/>
      <c r="P318" s="32"/>
      <c r="Q318" s="30"/>
      <c r="R318" s="31"/>
      <c r="S318" s="30"/>
      <c r="T318" s="30"/>
      <c r="U318" s="33"/>
      <c r="V318" s="32"/>
      <c r="W318" s="30"/>
      <c r="X318" s="30"/>
      <c r="Y318" s="30"/>
      <c r="Z318" s="30"/>
      <c r="AA318" s="31"/>
      <c r="AB318" s="32"/>
      <c r="AC318" s="30"/>
      <c r="AD318" s="31"/>
      <c r="AE318" s="30"/>
      <c r="AF318" s="30"/>
      <c r="AG318" s="33"/>
      <c r="AH318" s="32"/>
      <c r="AI318" s="30"/>
      <c r="AJ318" s="30"/>
    </row>
    <row x14ac:dyDescent="0.25" r="319" customHeight="1" ht="17.25">
      <c r="A319" s="33"/>
      <c r="B319" s="31"/>
      <c r="C319" s="31"/>
      <c r="D319" s="57"/>
      <c r="E319" s="31"/>
      <c r="F319" s="31"/>
      <c r="G319" s="31"/>
      <c r="H319" s="32"/>
      <c r="I319" s="33"/>
      <c r="J319" s="32"/>
      <c r="K319" s="33"/>
      <c r="L319" s="32"/>
      <c r="M319" s="30"/>
      <c r="N319" s="30"/>
      <c r="O319" s="31"/>
      <c r="P319" s="32"/>
      <c r="Q319" s="30"/>
      <c r="R319" s="31"/>
      <c r="S319" s="30"/>
      <c r="T319" s="30"/>
      <c r="U319" s="33"/>
      <c r="V319" s="32"/>
      <c r="W319" s="30"/>
      <c r="X319" s="30"/>
      <c r="Y319" s="30"/>
      <c r="Z319" s="30"/>
      <c r="AA319" s="31"/>
      <c r="AB319" s="32"/>
      <c r="AC319" s="30"/>
      <c r="AD319" s="31"/>
      <c r="AE319" s="30"/>
      <c r="AF319" s="30"/>
      <c r="AG319" s="33"/>
      <c r="AH319" s="32"/>
      <c r="AI319" s="30"/>
      <c r="AJ319" s="30"/>
    </row>
    <row x14ac:dyDescent="0.25" r="320" customHeight="1" ht="17.25">
      <c r="A320" s="33"/>
      <c r="B320" s="31"/>
      <c r="C320" s="31"/>
      <c r="D320" s="57"/>
      <c r="E320" s="31"/>
      <c r="F320" s="31"/>
      <c r="G320" s="31"/>
      <c r="H320" s="32"/>
      <c r="I320" s="33"/>
      <c r="J320" s="32"/>
      <c r="K320" s="33"/>
      <c r="L320" s="32"/>
      <c r="M320" s="30"/>
      <c r="N320" s="30"/>
      <c r="O320" s="31"/>
      <c r="P320" s="32"/>
      <c r="Q320" s="30"/>
      <c r="R320" s="31"/>
      <c r="S320" s="30"/>
      <c r="T320" s="30"/>
      <c r="U320" s="33"/>
      <c r="V320" s="32"/>
      <c r="W320" s="30"/>
      <c r="X320" s="30"/>
      <c r="Y320" s="30"/>
      <c r="Z320" s="30"/>
      <c r="AA320" s="31"/>
      <c r="AB320" s="32"/>
      <c r="AC320" s="30"/>
      <c r="AD320" s="31"/>
      <c r="AE320" s="30"/>
      <c r="AF320" s="30"/>
      <c r="AG320" s="33"/>
      <c r="AH320" s="32"/>
      <c r="AI320" s="30"/>
      <c r="AJ320" s="30"/>
    </row>
    <row x14ac:dyDescent="0.25" r="321" customHeight="1" ht="17.25">
      <c r="A321" s="33"/>
      <c r="B321" s="31"/>
      <c r="C321" s="31"/>
      <c r="D321" s="57"/>
      <c r="E321" s="31"/>
      <c r="F321" s="31"/>
      <c r="G321" s="31"/>
      <c r="H321" s="32"/>
      <c r="I321" s="33"/>
      <c r="J321" s="32"/>
      <c r="K321" s="33"/>
      <c r="L321" s="32"/>
      <c r="M321" s="30"/>
      <c r="N321" s="30"/>
      <c r="O321" s="31"/>
      <c r="P321" s="32"/>
      <c r="Q321" s="30"/>
      <c r="R321" s="31"/>
      <c r="S321" s="30"/>
      <c r="T321" s="30"/>
      <c r="U321" s="33"/>
      <c r="V321" s="32"/>
      <c r="W321" s="30"/>
      <c r="X321" s="30"/>
      <c r="Y321" s="30"/>
      <c r="Z321" s="30"/>
      <c r="AA321" s="31"/>
      <c r="AB321" s="32"/>
      <c r="AC321" s="30"/>
      <c r="AD321" s="31"/>
      <c r="AE321" s="30"/>
      <c r="AF321" s="30"/>
      <c r="AG321" s="33"/>
      <c r="AH321" s="32"/>
      <c r="AI321" s="30"/>
      <c r="AJ321" s="30"/>
    </row>
    <row x14ac:dyDescent="0.25" r="322" customHeight="1" ht="17.25">
      <c r="A322" s="33"/>
      <c r="B322" s="31"/>
      <c r="C322" s="31"/>
      <c r="D322" s="57"/>
      <c r="E322" s="31"/>
      <c r="F322" s="31"/>
      <c r="G322" s="31"/>
      <c r="H322" s="32"/>
      <c r="I322" s="33"/>
      <c r="J322" s="32"/>
      <c r="K322" s="33"/>
      <c r="L322" s="32"/>
      <c r="M322" s="30"/>
      <c r="N322" s="30"/>
      <c r="O322" s="31"/>
      <c r="P322" s="32"/>
      <c r="Q322" s="30"/>
      <c r="R322" s="31"/>
      <c r="S322" s="30"/>
      <c r="T322" s="30"/>
      <c r="U322" s="33"/>
      <c r="V322" s="32"/>
      <c r="W322" s="30"/>
      <c r="X322" s="30"/>
      <c r="Y322" s="30"/>
      <c r="Z322" s="30"/>
      <c r="AA322" s="31"/>
      <c r="AB322" s="32"/>
      <c r="AC322" s="30"/>
      <c r="AD322" s="31"/>
      <c r="AE322" s="30"/>
      <c r="AF322" s="30"/>
      <c r="AG322" s="33"/>
      <c r="AH322" s="32"/>
      <c r="AI322" s="30"/>
      <c r="AJ322" s="30"/>
    </row>
    <row x14ac:dyDescent="0.25" r="323" customHeight="1" ht="17.25">
      <c r="A323" s="33"/>
      <c r="B323" s="31"/>
      <c r="C323" s="31"/>
      <c r="D323" s="57"/>
      <c r="E323" s="31"/>
      <c r="F323" s="31"/>
      <c r="G323" s="31"/>
      <c r="H323" s="32"/>
      <c r="I323" s="33"/>
      <c r="J323" s="32"/>
      <c r="K323" s="33"/>
      <c r="L323" s="32"/>
      <c r="M323" s="30"/>
      <c r="N323" s="30"/>
      <c r="O323" s="31"/>
      <c r="P323" s="32"/>
      <c r="Q323" s="30"/>
      <c r="R323" s="31"/>
      <c r="S323" s="30"/>
      <c r="T323" s="30"/>
      <c r="U323" s="33"/>
      <c r="V323" s="32"/>
      <c r="W323" s="30"/>
      <c r="X323" s="30"/>
      <c r="Y323" s="30"/>
      <c r="Z323" s="30"/>
      <c r="AA323" s="31"/>
      <c r="AB323" s="32"/>
      <c r="AC323" s="30"/>
      <c r="AD323" s="31"/>
      <c r="AE323" s="30"/>
      <c r="AF323" s="30"/>
      <c r="AG323" s="33"/>
      <c r="AH323" s="32"/>
      <c r="AI323" s="30"/>
      <c r="AJ323" s="30"/>
    </row>
    <row x14ac:dyDescent="0.25" r="324" customHeight="1" ht="17.25">
      <c r="A324" s="33"/>
      <c r="B324" s="31"/>
      <c r="C324" s="31"/>
      <c r="D324" s="57"/>
      <c r="E324" s="31"/>
      <c r="F324" s="31"/>
      <c r="G324" s="31"/>
      <c r="H324" s="32"/>
      <c r="I324" s="33"/>
      <c r="J324" s="32"/>
      <c r="K324" s="33"/>
      <c r="L324" s="32"/>
      <c r="M324" s="30"/>
      <c r="N324" s="30"/>
      <c r="O324" s="31"/>
      <c r="P324" s="32"/>
      <c r="Q324" s="30"/>
      <c r="R324" s="31"/>
      <c r="S324" s="30"/>
      <c r="T324" s="30"/>
      <c r="U324" s="33"/>
      <c r="V324" s="32"/>
      <c r="W324" s="30"/>
      <c r="X324" s="30"/>
      <c r="Y324" s="30"/>
      <c r="Z324" s="30"/>
      <c r="AA324" s="31"/>
      <c r="AB324" s="32"/>
      <c r="AC324" s="30"/>
      <c r="AD324" s="31"/>
      <c r="AE324" s="30"/>
      <c r="AF324" s="30"/>
      <c r="AG324" s="33"/>
      <c r="AH324" s="32"/>
      <c r="AI324" s="30"/>
      <c r="AJ324" s="30"/>
    </row>
    <row x14ac:dyDescent="0.25" r="325" customHeight="1" ht="17.25">
      <c r="A325" s="33"/>
      <c r="B325" s="31"/>
      <c r="C325" s="31"/>
      <c r="D325" s="57"/>
      <c r="E325" s="31"/>
      <c r="F325" s="31"/>
      <c r="G325" s="31"/>
      <c r="H325" s="32"/>
      <c r="I325" s="33"/>
      <c r="J325" s="32"/>
      <c r="K325" s="33"/>
      <c r="L325" s="32"/>
      <c r="M325" s="30"/>
      <c r="N325" s="30"/>
      <c r="O325" s="31"/>
      <c r="P325" s="32"/>
      <c r="Q325" s="30"/>
      <c r="R325" s="31"/>
      <c r="S325" s="30"/>
      <c r="T325" s="30"/>
      <c r="U325" s="33"/>
      <c r="V325" s="32"/>
      <c r="W325" s="30"/>
      <c r="X325" s="30"/>
      <c r="Y325" s="30"/>
      <c r="Z325" s="30"/>
      <c r="AA325" s="31"/>
      <c r="AB325" s="32"/>
      <c r="AC325" s="30"/>
      <c r="AD325" s="31"/>
      <c r="AE325" s="30"/>
      <c r="AF325" s="30"/>
      <c r="AG325" s="33"/>
      <c r="AH325" s="32"/>
      <c r="AI325" s="30"/>
      <c r="AJ325" s="30"/>
    </row>
    <row x14ac:dyDescent="0.25" r="326" customHeight="1" ht="17.25">
      <c r="A326" s="33"/>
      <c r="B326" s="31"/>
      <c r="C326" s="31"/>
      <c r="D326" s="57"/>
      <c r="E326" s="31"/>
      <c r="F326" s="31"/>
      <c r="G326" s="31"/>
      <c r="H326" s="32"/>
      <c r="I326" s="33"/>
      <c r="J326" s="32"/>
      <c r="K326" s="33"/>
      <c r="L326" s="32"/>
      <c r="M326" s="30"/>
      <c r="N326" s="30"/>
      <c r="O326" s="31"/>
      <c r="P326" s="32"/>
      <c r="Q326" s="30"/>
      <c r="R326" s="31"/>
      <c r="S326" s="30"/>
      <c r="T326" s="30"/>
      <c r="U326" s="33"/>
      <c r="V326" s="32"/>
      <c r="W326" s="30"/>
      <c r="X326" s="30"/>
      <c r="Y326" s="30"/>
      <c r="Z326" s="30"/>
      <c r="AA326" s="31"/>
      <c r="AB326" s="32"/>
      <c r="AC326" s="30"/>
      <c r="AD326" s="31"/>
      <c r="AE326" s="30"/>
      <c r="AF326" s="30"/>
      <c r="AG326" s="33"/>
      <c r="AH326" s="32"/>
      <c r="AI326" s="30"/>
      <c r="AJ326" s="30"/>
    </row>
    <row x14ac:dyDescent="0.25" r="327" customHeight="1" ht="17.25">
      <c r="A327" s="33"/>
      <c r="B327" s="31"/>
      <c r="C327" s="31"/>
      <c r="D327" s="57"/>
      <c r="E327" s="31"/>
      <c r="F327" s="31"/>
      <c r="G327" s="31"/>
      <c r="H327" s="32"/>
      <c r="I327" s="33"/>
      <c r="J327" s="32"/>
      <c r="K327" s="33"/>
      <c r="L327" s="32"/>
      <c r="M327" s="30"/>
      <c r="N327" s="30"/>
      <c r="O327" s="31"/>
      <c r="P327" s="32"/>
      <c r="Q327" s="30"/>
      <c r="R327" s="31"/>
      <c r="S327" s="30"/>
      <c r="T327" s="30"/>
      <c r="U327" s="33"/>
      <c r="V327" s="32"/>
      <c r="W327" s="30"/>
      <c r="X327" s="30"/>
      <c r="Y327" s="30"/>
      <c r="Z327" s="30"/>
      <c r="AA327" s="31"/>
      <c r="AB327" s="32"/>
      <c r="AC327" s="30"/>
      <c r="AD327" s="31"/>
      <c r="AE327" s="30"/>
      <c r="AF327" s="30"/>
      <c r="AG327" s="33"/>
      <c r="AH327" s="32"/>
      <c r="AI327" s="30"/>
      <c r="AJ327" s="30"/>
    </row>
    <row x14ac:dyDescent="0.25" r="328" customHeight="1" ht="17.25">
      <c r="A328" s="33"/>
      <c r="B328" s="31"/>
      <c r="C328" s="31"/>
      <c r="D328" s="57"/>
      <c r="E328" s="31"/>
      <c r="F328" s="31"/>
      <c r="G328" s="31"/>
      <c r="H328" s="32"/>
      <c r="I328" s="33"/>
      <c r="J328" s="32"/>
      <c r="K328" s="33"/>
      <c r="L328" s="32"/>
      <c r="M328" s="30"/>
      <c r="N328" s="30"/>
      <c r="O328" s="31"/>
      <c r="P328" s="32"/>
      <c r="Q328" s="30"/>
      <c r="R328" s="31"/>
      <c r="S328" s="30"/>
      <c r="T328" s="30"/>
      <c r="U328" s="33"/>
      <c r="V328" s="32"/>
      <c r="W328" s="30"/>
      <c r="X328" s="30"/>
      <c r="Y328" s="30"/>
      <c r="Z328" s="30"/>
      <c r="AA328" s="31"/>
      <c r="AB328" s="32"/>
      <c r="AC328" s="30"/>
      <c r="AD328" s="31"/>
      <c r="AE328" s="30"/>
      <c r="AF328" s="30"/>
      <c r="AG328" s="33"/>
      <c r="AH328" s="32"/>
      <c r="AI328" s="30"/>
      <c r="AJ328" s="30"/>
    </row>
    <row x14ac:dyDescent="0.25" r="329" customHeight="1" ht="17.25">
      <c r="A329" s="33"/>
      <c r="B329" s="31"/>
      <c r="C329" s="31"/>
      <c r="D329" s="57"/>
      <c r="E329" s="31"/>
      <c r="F329" s="31"/>
      <c r="G329" s="31"/>
      <c r="H329" s="32"/>
      <c r="I329" s="33"/>
      <c r="J329" s="32"/>
      <c r="K329" s="33"/>
      <c r="L329" s="32"/>
      <c r="M329" s="30"/>
      <c r="N329" s="30"/>
      <c r="O329" s="31"/>
      <c r="P329" s="32"/>
      <c r="Q329" s="30"/>
      <c r="R329" s="31"/>
      <c r="S329" s="30"/>
      <c r="T329" s="30"/>
      <c r="U329" s="33"/>
      <c r="V329" s="32"/>
      <c r="W329" s="30"/>
      <c r="X329" s="30"/>
      <c r="Y329" s="30"/>
      <c r="Z329" s="30"/>
      <c r="AA329" s="31"/>
      <c r="AB329" s="32"/>
      <c r="AC329" s="30"/>
      <c r="AD329" s="31"/>
      <c r="AE329" s="30"/>
      <c r="AF329" s="30"/>
      <c r="AG329" s="33"/>
      <c r="AH329" s="32"/>
      <c r="AI329" s="30"/>
      <c r="AJ329" s="30"/>
    </row>
    <row x14ac:dyDescent="0.25" r="330" customHeight="1" ht="17.25">
      <c r="A330" s="33"/>
      <c r="B330" s="31"/>
      <c r="C330" s="31"/>
      <c r="D330" s="57"/>
      <c r="E330" s="31"/>
      <c r="F330" s="31"/>
      <c r="G330" s="31"/>
      <c r="H330" s="32"/>
      <c r="I330" s="33"/>
      <c r="J330" s="32"/>
      <c r="K330" s="33"/>
      <c r="L330" s="32"/>
      <c r="M330" s="30"/>
      <c r="N330" s="30"/>
      <c r="O330" s="31"/>
      <c r="P330" s="32"/>
      <c r="Q330" s="30"/>
      <c r="R330" s="31"/>
      <c r="S330" s="30"/>
      <c r="T330" s="30"/>
      <c r="U330" s="33"/>
      <c r="V330" s="32"/>
      <c r="W330" s="30"/>
      <c r="X330" s="30"/>
      <c r="Y330" s="30"/>
      <c r="Z330" s="30"/>
      <c r="AA330" s="31"/>
      <c r="AB330" s="32"/>
      <c r="AC330" s="30"/>
      <c r="AD330" s="31"/>
      <c r="AE330" s="30"/>
      <c r="AF330" s="30"/>
      <c r="AG330" s="33"/>
      <c r="AH330" s="32"/>
      <c r="AI330" s="30"/>
      <c r="AJ330" s="30"/>
    </row>
    <row x14ac:dyDescent="0.25" r="331" customHeight="1" ht="17.25">
      <c r="A331" s="33"/>
      <c r="B331" s="31"/>
      <c r="C331" s="31"/>
      <c r="D331" s="57"/>
      <c r="E331" s="31"/>
      <c r="F331" s="31"/>
      <c r="G331" s="31"/>
      <c r="H331" s="32"/>
      <c r="I331" s="33"/>
      <c r="J331" s="32"/>
      <c r="K331" s="33"/>
      <c r="L331" s="32"/>
      <c r="M331" s="30"/>
      <c r="N331" s="30"/>
      <c r="O331" s="31"/>
      <c r="P331" s="32"/>
      <c r="Q331" s="30"/>
      <c r="R331" s="31"/>
      <c r="S331" s="30"/>
      <c r="T331" s="30"/>
      <c r="U331" s="33"/>
      <c r="V331" s="32"/>
      <c r="W331" s="30"/>
      <c r="X331" s="30"/>
      <c r="Y331" s="30"/>
      <c r="Z331" s="30"/>
      <c r="AA331" s="31"/>
      <c r="AB331" s="32"/>
      <c r="AC331" s="30"/>
      <c r="AD331" s="31"/>
      <c r="AE331" s="30"/>
      <c r="AF331" s="30"/>
      <c r="AG331" s="33"/>
      <c r="AH331" s="32"/>
      <c r="AI331" s="30"/>
      <c r="AJ331" s="30"/>
    </row>
    <row x14ac:dyDescent="0.25" r="332" customHeight="1" ht="17.25">
      <c r="A332" s="33"/>
      <c r="B332" s="31"/>
      <c r="C332" s="31"/>
      <c r="D332" s="57"/>
      <c r="E332" s="31"/>
      <c r="F332" s="31"/>
      <c r="G332" s="31"/>
      <c r="H332" s="32"/>
      <c r="I332" s="33"/>
      <c r="J332" s="32"/>
      <c r="K332" s="33"/>
      <c r="L332" s="32"/>
      <c r="M332" s="30"/>
      <c r="N332" s="30"/>
      <c r="O332" s="31"/>
      <c r="P332" s="32"/>
      <c r="Q332" s="30"/>
      <c r="R332" s="31"/>
      <c r="S332" s="30"/>
      <c r="T332" s="30"/>
      <c r="U332" s="33"/>
      <c r="V332" s="32"/>
      <c r="W332" s="30"/>
      <c r="X332" s="30"/>
      <c r="Y332" s="30"/>
      <c r="Z332" s="30"/>
      <c r="AA332" s="31"/>
      <c r="AB332" s="32"/>
      <c r="AC332" s="30"/>
      <c r="AD332" s="31"/>
      <c r="AE332" s="30"/>
      <c r="AF332" s="30"/>
      <c r="AG332" s="33"/>
      <c r="AH332" s="32"/>
      <c r="AI332" s="30"/>
      <c r="AJ332" s="30"/>
    </row>
    <row x14ac:dyDescent="0.25" r="333" customHeight="1" ht="17.25">
      <c r="A333" s="33"/>
      <c r="B333" s="31"/>
      <c r="C333" s="31"/>
      <c r="D333" s="57"/>
      <c r="E333" s="31"/>
      <c r="F333" s="31"/>
      <c r="G333" s="31"/>
      <c r="H333" s="32"/>
      <c r="I333" s="33"/>
      <c r="J333" s="32"/>
      <c r="K333" s="33"/>
      <c r="L333" s="32"/>
      <c r="M333" s="30"/>
      <c r="N333" s="30"/>
      <c r="O333" s="31"/>
      <c r="P333" s="32"/>
      <c r="Q333" s="30"/>
      <c r="R333" s="31"/>
      <c r="S333" s="30"/>
      <c r="T333" s="30"/>
      <c r="U333" s="33"/>
      <c r="V333" s="32"/>
      <c r="W333" s="30"/>
      <c r="X333" s="30"/>
      <c r="Y333" s="30"/>
      <c r="Z333" s="30"/>
      <c r="AA333" s="31"/>
      <c r="AB333" s="32"/>
      <c r="AC333" s="30"/>
      <c r="AD333" s="31"/>
      <c r="AE333" s="30"/>
      <c r="AF333" s="30"/>
      <c r="AG333" s="33"/>
      <c r="AH333" s="32"/>
      <c r="AI333" s="30"/>
      <c r="AJ333" s="30"/>
    </row>
    <row x14ac:dyDescent="0.25" r="334" customHeight="1" ht="17.25">
      <c r="A334" s="33"/>
      <c r="B334" s="31"/>
      <c r="C334" s="31"/>
      <c r="D334" s="57"/>
      <c r="E334" s="31"/>
      <c r="F334" s="31"/>
      <c r="G334" s="31"/>
      <c r="H334" s="32"/>
      <c r="I334" s="33"/>
      <c r="J334" s="32"/>
      <c r="K334" s="33"/>
      <c r="L334" s="32"/>
      <c r="M334" s="30"/>
      <c r="N334" s="30"/>
      <c r="O334" s="31"/>
      <c r="P334" s="32"/>
      <c r="Q334" s="30"/>
      <c r="R334" s="31"/>
      <c r="S334" s="30"/>
      <c r="T334" s="30"/>
      <c r="U334" s="33"/>
      <c r="V334" s="32"/>
      <c r="W334" s="30"/>
      <c r="X334" s="30"/>
      <c r="Y334" s="30"/>
      <c r="Z334" s="30"/>
      <c r="AA334" s="31"/>
      <c r="AB334" s="32"/>
      <c r="AC334" s="30"/>
      <c r="AD334" s="31"/>
      <c r="AE334" s="30"/>
      <c r="AF334" s="30"/>
      <c r="AG334" s="33"/>
      <c r="AH334" s="32"/>
      <c r="AI334" s="30"/>
      <c r="AJ334" s="30"/>
    </row>
    <row x14ac:dyDescent="0.25" r="335" customHeight="1" ht="17.25">
      <c r="A335" s="33"/>
      <c r="B335" s="31"/>
      <c r="C335" s="31"/>
      <c r="D335" s="57"/>
      <c r="E335" s="31"/>
      <c r="F335" s="31"/>
      <c r="G335" s="31"/>
      <c r="H335" s="32"/>
      <c r="I335" s="33"/>
      <c r="J335" s="32"/>
      <c r="K335" s="33"/>
      <c r="L335" s="32"/>
      <c r="M335" s="30"/>
      <c r="N335" s="30"/>
      <c r="O335" s="31"/>
      <c r="P335" s="32"/>
      <c r="Q335" s="30"/>
      <c r="R335" s="31"/>
      <c r="S335" s="30"/>
      <c r="T335" s="30"/>
      <c r="U335" s="33"/>
      <c r="V335" s="32"/>
      <c r="W335" s="30"/>
      <c r="X335" s="30"/>
      <c r="Y335" s="30"/>
      <c r="Z335" s="30"/>
      <c r="AA335" s="31"/>
      <c r="AB335" s="32"/>
      <c r="AC335" s="30"/>
      <c r="AD335" s="31"/>
      <c r="AE335" s="30"/>
      <c r="AF335" s="30"/>
      <c r="AG335" s="33"/>
      <c r="AH335" s="32"/>
      <c r="AI335" s="30"/>
      <c r="AJ335" s="30"/>
    </row>
    <row x14ac:dyDescent="0.25" r="336" customHeight="1" ht="17.25">
      <c r="A336" s="33"/>
      <c r="B336" s="31"/>
      <c r="C336" s="31"/>
      <c r="D336" s="57"/>
      <c r="E336" s="31"/>
      <c r="F336" s="31"/>
      <c r="G336" s="31"/>
      <c r="H336" s="32"/>
      <c r="I336" s="33"/>
      <c r="J336" s="32"/>
      <c r="K336" s="33"/>
      <c r="L336" s="32"/>
      <c r="M336" s="30"/>
      <c r="N336" s="30"/>
      <c r="O336" s="31"/>
      <c r="P336" s="32"/>
      <c r="Q336" s="30"/>
      <c r="R336" s="31"/>
      <c r="S336" s="30"/>
      <c r="T336" s="30"/>
      <c r="U336" s="33"/>
      <c r="V336" s="32"/>
      <c r="W336" s="30"/>
      <c r="X336" s="30"/>
      <c r="Y336" s="30"/>
      <c r="Z336" s="30"/>
      <c r="AA336" s="31"/>
      <c r="AB336" s="32"/>
      <c r="AC336" s="30"/>
      <c r="AD336" s="31"/>
      <c r="AE336" s="30"/>
      <c r="AF336" s="30"/>
      <c r="AG336" s="33"/>
      <c r="AH336" s="32"/>
      <c r="AI336" s="30"/>
      <c r="AJ336" s="30"/>
    </row>
    <row x14ac:dyDescent="0.25" r="337" customHeight="1" ht="17.25">
      <c r="A337" s="33"/>
      <c r="B337" s="31"/>
      <c r="C337" s="31"/>
      <c r="D337" s="57"/>
      <c r="E337" s="31"/>
      <c r="F337" s="31"/>
      <c r="G337" s="31"/>
      <c r="H337" s="32"/>
      <c r="I337" s="33"/>
      <c r="J337" s="32"/>
      <c r="K337" s="33"/>
      <c r="L337" s="32"/>
      <c r="M337" s="30"/>
      <c r="N337" s="30"/>
      <c r="O337" s="31"/>
      <c r="P337" s="32"/>
      <c r="Q337" s="30"/>
      <c r="R337" s="31"/>
      <c r="S337" s="30"/>
      <c r="T337" s="30"/>
      <c r="U337" s="33"/>
      <c r="V337" s="32"/>
      <c r="W337" s="30"/>
      <c r="X337" s="30"/>
      <c r="Y337" s="30"/>
      <c r="Z337" s="30"/>
      <c r="AA337" s="31"/>
      <c r="AB337" s="32"/>
      <c r="AC337" s="30"/>
      <c r="AD337" s="31"/>
      <c r="AE337" s="30"/>
      <c r="AF337" s="30"/>
      <c r="AG337" s="33"/>
      <c r="AH337" s="32"/>
      <c r="AI337" s="30"/>
      <c r="AJ337" s="30"/>
    </row>
    <row x14ac:dyDescent="0.25" r="338" customHeight="1" ht="17.25">
      <c r="A338" s="33"/>
      <c r="B338" s="31"/>
      <c r="C338" s="31"/>
      <c r="D338" s="57"/>
      <c r="E338" s="31"/>
      <c r="F338" s="31"/>
      <c r="G338" s="31"/>
      <c r="H338" s="32"/>
      <c r="I338" s="33"/>
      <c r="J338" s="32"/>
      <c r="K338" s="33"/>
      <c r="L338" s="32"/>
      <c r="M338" s="30"/>
      <c r="N338" s="30"/>
      <c r="O338" s="31"/>
      <c r="P338" s="32"/>
      <c r="Q338" s="30"/>
      <c r="R338" s="31"/>
      <c r="S338" s="30"/>
      <c r="T338" s="30"/>
      <c r="U338" s="33"/>
      <c r="V338" s="32"/>
      <c r="W338" s="30"/>
      <c r="X338" s="30"/>
      <c r="Y338" s="30"/>
      <c r="Z338" s="30"/>
      <c r="AA338" s="31"/>
      <c r="AB338" s="32"/>
      <c r="AC338" s="30"/>
      <c r="AD338" s="31"/>
      <c r="AE338" s="30"/>
      <c r="AF338" s="30"/>
      <c r="AG338" s="33"/>
      <c r="AH338" s="32"/>
      <c r="AI338" s="30"/>
      <c r="AJ338" s="30"/>
    </row>
    <row x14ac:dyDescent="0.25" r="339" customHeight="1" ht="17.25">
      <c r="A339" s="33"/>
      <c r="B339" s="31"/>
      <c r="C339" s="31"/>
      <c r="D339" s="57"/>
      <c r="E339" s="31"/>
      <c r="F339" s="31"/>
      <c r="G339" s="31"/>
      <c r="H339" s="32"/>
      <c r="I339" s="33"/>
      <c r="J339" s="32"/>
      <c r="K339" s="33"/>
      <c r="L339" s="32"/>
      <c r="M339" s="30"/>
      <c r="N339" s="30"/>
      <c r="O339" s="31"/>
      <c r="P339" s="32"/>
      <c r="Q339" s="30"/>
      <c r="R339" s="31"/>
      <c r="S339" s="30"/>
      <c r="T339" s="30"/>
      <c r="U339" s="33"/>
      <c r="V339" s="32"/>
      <c r="W339" s="30"/>
      <c r="X339" s="30"/>
      <c r="Y339" s="30"/>
      <c r="Z339" s="30"/>
      <c r="AA339" s="31"/>
      <c r="AB339" s="32"/>
      <c r="AC339" s="30"/>
      <c r="AD339" s="31"/>
      <c r="AE339" s="30"/>
      <c r="AF339" s="30"/>
      <c r="AG339" s="33"/>
      <c r="AH339" s="32"/>
      <c r="AI339" s="30"/>
      <c r="AJ339" s="30"/>
    </row>
    <row x14ac:dyDescent="0.25" r="340" customHeight="1" ht="17.25">
      <c r="A340" s="33"/>
      <c r="B340" s="31"/>
      <c r="C340" s="31"/>
      <c r="D340" s="57"/>
      <c r="E340" s="31"/>
      <c r="F340" s="31"/>
      <c r="G340" s="31"/>
      <c r="H340" s="32"/>
      <c r="I340" s="33"/>
      <c r="J340" s="32"/>
      <c r="K340" s="33"/>
      <c r="L340" s="32"/>
      <c r="M340" s="30"/>
      <c r="N340" s="30"/>
      <c r="O340" s="31"/>
      <c r="P340" s="32"/>
      <c r="Q340" s="30"/>
      <c r="R340" s="31"/>
      <c r="S340" s="30"/>
      <c r="T340" s="30"/>
      <c r="U340" s="33"/>
      <c r="V340" s="32"/>
      <c r="W340" s="30"/>
      <c r="X340" s="30"/>
      <c r="Y340" s="30"/>
      <c r="Z340" s="30"/>
      <c r="AA340" s="31"/>
      <c r="AB340" s="32"/>
      <c r="AC340" s="30"/>
      <c r="AD340" s="31"/>
      <c r="AE340" s="30"/>
      <c r="AF340" s="30"/>
      <c r="AG340" s="33"/>
      <c r="AH340" s="32"/>
      <c r="AI340" s="30"/>
      <c r="AJ340" s="30"/>
    </row>
    <row x14ac:dyDescent="0.25" r="341" customHeight="1" ht="17.25">
      <c r="A341" s="33"/>
      <c r="B341" s="31"/>
      <c r="C341" s="31"/>
      <c r="D341" s="57"/>
      <c r="E341" s="31"/>
      <c r="F341" s="31"/>
      <c r="G341" s="31"/>
      <c r="H341" s="32"/>
      <c r="I341" s="33"/>
      <c r="J341" s="32"/>
      <c r="K341" s="33"/>
      <c r="L341" s="32"/>
      <c r="M341" s="30"/>
      <c r="N341" s="30"/>
      <c r="O341" s="31"/>
      <c r="P341" s="32"/>
      <c r="Q341" s="30"/>
      <c r="R341" s="31"/>
      <c r="S341" s="30"/>
      <c r="T341" s="30"/>
      <c r="U341" s="33"/>
      <c r="V341" s="32"/>
      <c r="W341" s="30"/>
      <c r="X341" s="30"/>
      <c r="Y341" s="30"/>
      <c r="Z341" s="30"/>
      <c r="AA341" s="31"/>
      <c r="AB341" s="32"/>
      <c r="AC341" s="30"/>
      <c r="AD341" s="31"/>
      <c r="AE341" s="30"/>
      <c r="AF341" s="30"/>
      <c r="AG341" s="33"/>
      <c r="AH341" s="32"/>
      <c r="AI341" s="30"/>
      <c r="AJ341" s="30"/>
    </row>
    <row x14ac:dyDescent="0.25" r="342" customHeight="1" ht="17.25">
      <c r="A342" s="33"/>
      <c r="B342" s="31"/>
      <c r="C342" s="31"/>
      <c r="D342" s="57"/>
      <c r="E342" s="31"/>
      <c r="F342" s="31"/>
      <c r="G342" s="31"/>
      <c r="H342" s="32"/>
      <c r="I342" s="33"/>
      <c r="J342" s="32"/>
      <c r="K342" s="33"/>
      <c r="L342" s="32"/>
      <c r="M342" s="30"/>
      <c r="N342" s="30"/>
      <c r="O342" s="31"/>
      <c r="P342" s="32"/>
      <c r="Q342" s="30"/>
      <c r="R342" s="31"/>
      <c r="S342" s="30"/>
      <c r="T342" s="30"/>
      <c r="U342" s="33"/>
      <c r="V342" s="32"/>
      <c r="W342" s="30"/>
      <c r="X342" s="30"/>
      <c r="Y342" s="30"/>
      <c r="Z342" s="30"/>
      <c r="AA342" s="31"/>
      <c r="AB342" s="32"/>
      <c r="AC342" s="30"/>
      <c r="AD342" s="31"/>
      <c r="AE342" s="30"/>
      <c r="AF342" s="30"/>
      <c r="AG342" s="33"/>
      <c r="AH342" s="32"/>
      <c r="AI342" s="30"/>
      <c r="AJ342" s="30"/>
    </row>
    <row x14ac:dyDescent="0.25" r="343" customHeight="1" ht="17.25">
      <c r="A343" s="33"/>
      <c r="B343" s="31"/>
      <c r="C343" s="31"/>
      <c r="D343" s="57"/>
      <c r="E343" s="31"/>
      <c r="F343" s="31"/>
      <c r="G343" s="31"/>
      <c r="H343" s="32"/>
      <c r="I343" s="33"/>
      <c r="J343" s="32"/>
      <c r="K343" s="33"/>
      <c r="L343" s="32"/>
      <c r="M343" s="30"/>
      <c r="N343" s="30"/>
      <c r="O343" s="31"/>
      <c r="P343" s="32"/>
      <c r="Q343" s="30"/>
      <c r="R343" s="31"/>
      <c r="S343" s="30"/>
      <c r="T343" s="30"/>
      <c r="U343" s="33"/>
      <c r="V343" s="32"/>
      <c r="W343" s="30"/>
      <c r="X343" s="30"/>
      <c r="Y343" s="30"/>
      <c r="Z343" s="30"/>
      <c r="AA343" s="31"/>
      <c r="AB343" s="32"/>
      <c r="AC343" s="30"/>
      <c r="AD343" s="31"/>
      <c r="AE343" s="30"/>
      <c r="AF343" s="30"/>
      <c r="AG343" s="33"/>
      <c r="AH343" s="32"/>
      <c r="AI343" s="30"/>
      <c r="AJ343" s="30"/>
    </row>
    <row x14ac:dyDescent="0.25" r="344" customHeight="1" ht="17.25">
      <c r="A344" s="33"/>
      <c r="B344" s="31"/>
      <c r="C344" s="31"/>
      <c r="D344" s="57"/>
      <c r="E344" s="31"/>
      <c r="F344" s="31"/>
      <c r="G344" s="31"/>
      <c r="H344" s="32"/>
      <c r="I344" s="33"/>
      <c r="J344" s="32"/>
      <c r="K344" s="33"/>
      <c r="L344" s="32"/>
      <c r="M344" s="30"/>
      <c r="N344" s="30"/>
      <c r="O344" s="31"/>
      <c r="P344" s="32"/>
      <c r="Q344" s="30"/>
      <c r="R344" s="31"/>
      <c r="S344" s="30"/>
      <c r="T344" s="30"/>
      <c r="U344" s="33"/>
      <c r="V344" s="32"/>
      <c r="W344" s="30"/>
      <c r="X344" s="30"/>
      <c r="Y344" s="30"/>
      <c r="Z344" s="30"/>
      <c r="AA344" s="31"/>
      <c r="AB344" s="32"/>
      <c r="AC344" s="30"/>
      <c r="AD344" s="31"/>
      <c r="AE344" s="30"/>
      <c r="AF344" s="30"/>
      <c r="AG344" s="33"/>
      <c r="AH344" s="32"/>
      <c r="AI344" s="30"/>
      <c r="AJ344" s="30"/>
    </row>
    <row x14ac:dyDescent="0.25" r="345" customHeight="1" ht="17.25">
      <c r="A345" s="33"/>
      <c r="B345" s="31"/>
      <c r="C345" s="31"/>
      <c r="D345" s="57"/>
      <c r="E345" s="31"/>
      <c r="F345" s="31"/>
      <c r="G345" s="31"/>
      <c r="H345" s="32"/>
      <c r="I345" s="33"/>
      <c r="J345" s="32"/>
      <c r="K345" s="33"/>
      <c r="L345" s="32"/>
      <c r="M345" s="30"/>
      <c r="N345" s="30"/>
      <c r="O345" s="31"/>
      <c r="P345" s="32"/>
      <c r="Q345" s="30"/>
      <c r="R345" s="31"/>
      <c r="S345" s="30"/>
      <c r="T345" s="30"/>
      <c r="U345" s="33"/>
      <c r="V345" s="32"/>
      <c r="W345" s="30"/>
      <c r="X345" s="30"/>
      <c r="Y345" s="30"/>
      <c r="Z345" s="30"/>
      <c r="AA345" s="31"/>
      <c r="AB345" s="32"/>
      <c r="AC345" s="30"/>
      <c r="AD345" s="31"/>
      <c r="AE345" s="30"/>
      <c r="AF345" s="30"/>
      <c r="AG345" s="33"/>
      <c r="AH345" s="32"/>
      <c r="AI345" s="30"/>
      <c r="AJ345" s="30"/>
    </row>
    <row x14ac:dyDescent="0.25" r="346" customHeight="1" ht="17.25">
      <c r="A346" s="33"/>
      <c r="B346" s="31"/>
      <c r="C346" s="31"/>
      <c r="D346" s="57"/>
      <c r="E346" s="31"/>
      <c r="F346" s="31"/>
      <c r="G346" s="31"/>
      <c r="H346" s="32"/>
      <c r="I346" s="33"/>
      <c r="J346" s="32"/>
      <c r="K346" s="33"/>
      <c r="L346" s="32"/>
      <c r="M346" s="30"/>
      <c r="N346" s="30"/>
      <c r="O346" s="31"/>
      <c r="P346" s="32"/>
      <c r="Q346" s="30"/>
      <c r="R346" s="31"/>
      <c r="S346" s="30"/>
      <c r="T346" s="30"/>
      <c r="U346" s="33"/>
      <c r="V346" s="32"/>
      <c r="W346" s="30"/>
      <c r="X346" s="30"/>
      <c r="Y346" s="30"/>
      <c r="Z346" s="30"/>
      <c r="AA346" s="31"/>
      <c r="AB346" s="32"/>
      <c r="AC346" s="30"/>
      <c r="AD346" s="31"/>
      <c r="AE346" s="30"/>
      <c r="AF346" s="30"/>
      <c r="AG346" s="33"/>
      <c r="AH346" s="32"/>
      <c r="AI346" s="30"/>
      <c r="AJ346" s="30"/>
    </row>
    <row x14ac:dyDescent="0.25" r="347" customHeight="1" ht="17.25">
      <c r="A347" s="33"/>
      <c r="B347" s="31"/>
      <c r="C347" s="31"/>
      <c r="D347" s="57"/>
      <c r="E347" s="31"/>
      <c r="F347" s="31"/>
      <c r="G347" s="31"/>
      <c r="H347" s="32"/>
      <c r="I347" s="33"/>
      <c r="J347" s="32"/>
      <c r="K347" s="33"/>
      <c r="L347" s="32"/>
      <c r="M347" s="30"/>
      <c r="N347" s="30"/>
      <c r="O347" s="31"/>
      <c r="P347" s="32"/>
      <c r="Q347" s="30"/>
      <c r="R347" s="31"/>
      <c r="S347" s="30"/>
      <c r="T347" s="30"/>
      <c r="U347" s="33"/>
      <c r="V347" s="32"/>
      <c r="W347" s="30"/>
      <c r="X347" s="30"/>
      <c r="Y347" s="30"/>
      <c r="Z347" s="30"/>
      <c r="AA347" s="31"/>
      <c r="AB347" s="32"/>
      <c r="AC347" s="30"/>
      <c r="AD347" s="31"/>
      <c r="AE347" s="30"/>
      <c r="AF347" s="30"/>
      <c r="AG347" s="33"/>
      <c r="AH347" s="32"/>
      <c r="AI347" s="30"/>
      <c r="AJ347" s="30"/>
    </row>
    <row x14ac:dyDescent="0.25" r="348" customHeight="1" ht="17.25">
      <c r="A348" s="33"/>
      <c r="B348" s="31"/>
      <c r="C348" s="31"/>
      <c r="D348" s="57"/>
      <c r="E348" s="31"/>
      <c r="F348" s="31"/>
      <c r="G348" s="31"/>
      <c r="H348" s="32"/>
      <c r="I348" s="33"/>
      <c r="J348" s="32"/>
      <c r="K348" s="33"/>
      <c r="L348" s="32"/>
      <c r="M348" s="30"/>
      <c r="N348" s="30"/>
      <c r="O348" s="31"/>
      <c r="P348" s="32"/>
      <c r="Q348" s="30"/>
      <c r="R348" s="31"/>
      <c r="S348" s="30"/>
      <c r="T348" s="30"/>
      <c r="U348" s="33"/>
      <c r="V348" s="32"/>
      <c r="W348" s="30"/>
      <c r="X348" s="30"/>
      <c r="Y348" s="30"/>
      <c r="Z348" s="30"/>
      <c r="AA348" s="31"/>
      <c r="AB348" s="32"/>
      <c r="AC348" s="30"/>
      <c r="AD348" s="31"/>
      <c r="AE348" s="30"/>
      <c r="AF348" s="30"/>
      <c r="AG348" s="33"/>
      <c r="AH348" s="32"/>
      <c r="AI348" s="30"/>
      <c r="AJ348" s="30"/>
    </row>
    <row x14ac:dyDescent="0.25" r="349" customHeight="1" ht="17.25">
      <c r="A349" s="33"/>
      <c r="B349" s="31"/>
      <c r="C349" s="31"/>
      <c r="D349" s="57"/>
      <c r="E349" s="31"/>
      <c r="F349" s="31"/>
      <c r="G349" s="31"/>
      <c r="H349" s="32"/>
      <c r="I349" s="33"/>
      <c r="J349" s="32"/>
      <c r="K349" s="33"/>
      <c r="L349" s="32"/>
      <c r="M349" s="30"/>
      <c r="N349" s="30"/>
      <c r="O349" s="31"/>
      <c r="P349" s="32"/>
      <c r="Q349" s="30"/>
      <c r="R349" s="31"/>
      <c r="S349" s="30"/>
      <c r="T349" s="30"/>
      <c r="U349" s="33"/>
      <c r="V349" s="32"/>
      <c r="W349" s="30"/>
      <c r="X349" s="30"/>
      <c r="Y349" s="30"/>
      <c r="Z349" s="30"/>
      <c r="AA349" s="31"/>
      <c r="AB349" s="32"/>
      <c r="AC349" s="30"/>
      <c r="AD349" s="31"/>
      <c r="AE349" s="30"/>
      <c r="AF349" s="30"/>
      <c r="AG349" s="33"/>
      <c r="AH349" s="32"/>
      <c r="AI349" s="30"/>
      <c r="AJ349" s="30"/>
    </row>
    <row x14ac:dyDescent="0.25" r="350" customHeight="1" ht="17.25">
      <c r="A350" s="33"/>
      <c r="B350" s="31"/>
      <c r="C350" s="31"/>
      <c r="D350" s="57"/>
      <c r="E350" s="31"/>
      <c r="F350" s="31"/>
      <c r="G350" s="31"/>
      <c r="H350" s="32"/>
      <c r="I350" s="33"/>
      <c r="J350" s="32"/>
      <c r="K350" s="33"/>
      <c r="L350" s="32"/>
      <c r="M350" s="30"/>
      <c r="N350" s="30"/>
      <c r="O350" s="31"/>
      <c r="P350" s="32"/>
      <c r="Q350" s="30"/>
      <c r="R350" s="31"/>
      <c r="S350" s="30"/>
      <c r="T350" s="30"/>
      <c r="U350" s="33"/>
      <c r="V350" s="32"/>
      <c r="W350" s="30"/>
      <c r="X350" s="30"/>
      <c r="Y350" s="30"/>
      <c r="Z350" s="30"/>
      <c r="AA350" s="31"/>
      <c r="AB350" s="32"/>
      <c r="AC350" s="30"/>
      <c r="AD350" s="31"/>
      <c r="AE350" s="30"/>
      <c r="AF350" s="30"/>
      <c r="AG350" s="33"/>
      <c r="AH350" s="32"/>
      <c r="AI350" s="30"/>
      <c r="AJ350" s="30"/>
    </row>
    <row x14ac:dyDescent="0.25" r="351" customHeight="1" ht="17.25">
      <c r="A351" s="33"/>
      <c r="B351" s="31"/>
      <c r="C351" s="31"/>
      <c r="D351" s="57"/>
      <c r="E351" s="31"/>
      <c r="F351" s="31"/>
      <c r="G351" s="31"/>
      <c r="H351" s="32"/>
      <c r="I351" s="33"/>
      <c r="J351" s="32"/>
      <c r="K351" s="33"/>
      <c r="L351" s="32"/>
      <c r="M351" s="30"/>
      <c r="N351" s="30"/>
      <c r="O351" s="31"/>
      <c r="P351" s="32"/>
      <c r="Q351" s="30"/>
      <c r="R351" s="31"/>
      <c r="S351" s="30"/>
      <c r="T351" s="30"/>
      <c r="U351" s="33"/>
      <c r="V351" s="32"/>
      <c r="W351" s="30"/>
      <c r="X351" s="30"/>
      <c r="Y351" s="30"/>
      <c r="Z351" s="30"/>
      <c r="AA351" s="31"/>
      <c r="AB351" s="32"/>
      <c r="AC351" s="30"/>
      <c r="AD351" s="31"/>
      <c r="AE351" s="30"/>
      <c r="AF351" s="30"/>
      <c r="AG351" s="33"/>
      <c r="AH351" s="32"/>
      <c r="AI351" s="30"/>
      <c r="AJ351" s="30"/>
    </row>
    <row x14ac:dyDescent="0.25" r="352" customHeight="1" ht="17.25">
      <c r="A352" s="33"/>
      <c r="B352" s="31"/>
      <c r="C352" s="31"/>
      <c r="D352" s="57"/>
      <c r="E352" s="31"/>
      <c r="F352" s="31"/>
      <c r="G352" s="31"/>
      <c r="H352" s="32"/>
      <c r="I352" s="33"/>
      <c r="J352" s="32"/>
      <c r="K352" s="33"/>
      <c r="L352" s="32"/>
      <c r="M352" s="30"/>
      <c r="N352" s="30"/>
      <c r="O352" s="31"/>
      <c r="P352" s="32"/>
      <c r="Q352" s="30"/>
      <c r="R352" s="31"/>
      <c r="S352" s="30"/>
      <c r="T352" s="30"/>
      <c r="U352" s="33"/>
      <c r="V352" s="32"/>
      <c r="W352" s="30"/>
      <c r="X352" s="30"/>
      <c r="Y352" s="30"/>
      <c r="Z352" s="30"/>
      <c r="AA352" s="31"/>
      <c r="AB352" s="32"/>
      <c r="AC352" s="30"/>
      <c r="AD352" s="31"/>
      <c r="AE352" s="30"/>
      <c r="AF352" s="30"/>
      <c r="AG352" s="33"/>
      <c r="AH352" s="32"/>
      <c r="AI352" s="30"/>
      <c r="AJ352" s="30"/>
    </row>
    <row x14ac:dyDescent="0.25" r="353" customHeight="1" ht="17.25">
      <c r="A353" s="33"/>
      <c r="B353" s="31"/>
      <c r="C353" s="31"/>
      <c r="D353" s="57"/>
      <c r="E353" s="31"/>
      <c r="F353" s="31"/>
      <c r="G353" s="31"/>
      <c r="H353" s="32"/>
      <c r="I353" s="33"/>
      <c r="J353" s="32"/>
      <c r="K353" s="33"/>
      <c r="L353" s="32"/>
      <c r="M353" s="30"/>
      <c r="N353" s="30"/>
      <c r="O353" s="31"/>
      <c r="P353" s="32"/>
      <c r="Q353" s="30"/>
      <c r="R353" s="31"/>
      <c r="S353" s="30"/>
      <c r="T353" s="30"/>
      <c r="U353" s="33"/>
      <c r="V353" s="32"/>
      <c r="W353" s="30"/>
      <c r="X353" s="30"/>
      <c r="Y353" s="30"/>
      <c r="Z353" s="30"/>
      <c r="AA353" s="31"/>
      <c r="AB353" s="32"/>
      <c r="AC353" s="30"/>
      <c r="AD353" s="31"/>
      <c r="AE353" s="30"/>
      <c r="AF353" s="30"/>
      <c r="AG353" s="33"/>
      <c r="AH353" s="32"/>
      <c r="AI353" s="30"/>
      <c r="AJ353" s="30"/>
    </row>
    <row x14ac:dyDescent="0.25" r="354" customHeight="1" ht="17.25">
      <c r="A354" s="33"/>
      <c r="B354" s="31"/>
      <c r="C354" s="31"/>
      <c r="D354" s="57"/>
      <c r="E354" s="31"/>
      <c r="F354" s="31"/>
      <c r="G354" s="31"/>
      <c r="H354" s="32"/>
      <c r="I354" s="33"/>
      <c r="J354" s="32"/>
      <c r="K354" s="33"/>
      <c r="L354" s="32"/>
      <c r="M354" s="30"/>
      <c r="N354" s="30"/>
      <c r="O354" s="31"/>
      <c r="P354" s="32"/>
      <c r="Q354" s="30"/>
      <c r="R354" s="31"/>
      <c r="S354" s="30"/>
      <c r="T354" s="30"/>
      <c r="U354" s="33"/>
      <c r="V354" s="32"/>
      <c r="W354" s="30"/>
      <c r="X354" s="30"/>
      <c r="Y354" s="30"/>
      <c r="Z354" s="30"/>
      <c r="AA354" s="31"/>
      <c r="AB354" s="32"/>
      <c r="AC354" s="30"/>
      <c r="AD354" s="31"/>
      <c r="AE354" s="30"/>
      <c r="AF354" s="30"/>
      <c r="AG354" s="33"/>
      <c r="AH354" s="32"/>
      <c r="AI354" s="30"/>
      <c r="AJ354" s="30"/>
    </row>
    <row x14ac:dyDescent="0.25" r="355" customHeight="1" ht="17.25">
      <c r="A355" s="33"/>
      <c r="B355" s="31"/>
      <c r="C355" s="31"/>
      <c r="D355" s="57"/>
      <c r="E355" s="31"/>
      <c r="F355" s="31"/>
      <c r="G355" s="31"/>
      <c r="H355" s="32"/>
      <c r="I355" s="33"/>
      <c r="J355" s="32"/>
      <c r="K355" s="33"/>
      <c r="L355" s="32"/>
      <c r="M355" s="30"/>
      <c r="N355" s="30"/>
      <c r="O355" s="31"/>
      <c r="P355" s="32"/>
      <c r="Q355" s="30"/>
      <c r="R355" s="31"/>
      <c r="S355" s="30"/>
      <c r="T355" s="30"/>
      <c r="U355" s="33"/>
      <c r="V355" s="32"/>
      <c r="W355" s="30"/>
      <c r="X355" s="30"/>
      <c r="Y355" s="30"/>
      <c r="Z355" s="30"/>
      <c r="AA355" s="31"/>
      <c r="AB355" s="32"/>
      <c r="AC355" s="30"/>
      <c r="AD355" s="31"/>
      <c r="AE355" s="30"/>
      <c r="AF355" s="30"/>
      <c r="AG355" s="33"/>
      <c r="AH355" s="32"/>
      <c r="AI355" s="30"/>
      <c r="AJ355" s="30"/>
    </row>
    <row x14ac:dyDescent="0.25" r="356" customHeight="1" ht="17.25">
      <c r="A356" s="33"/>
      <c r="B356" s="31"/>
      <c r="C356" s="31"/>
      <c r="D356" s="57"/>
      <c r="E356" s="31"/>
      <c r="F356" s="31"/>
      <c r="G356" s="31"/>
      <c r="H356" s="32"/>
      <c r="I356" s="33"/>
      <c r="J356" s="32"/>
      <c r="K356" s="33"/>
      <c r="L356" s="32"/>
      <c r="M356" s="30"/>
      <c r="N356" s="30"/>
      <c r="O356" s="31"/>
      <c r="P356" s="32"/>
      <c r="Q356" s="30"/>
      <c r="R356" s="31"/>
      <c r="S356" s="30"/>
      <c r="T356" s="30"/>
      <c r="U356" s="33"/>
      <c r="V356" s="32"/>
      <c r="W356" s="30"/>
      <c r="X356" s="30"/>
      <c r="Y356" s="30"/>
      <c r="Z356" s="30"/>
      <c r="AA356" s="31"/>
      <c r="AB356" s="32"/>
      <c r="AC356" s="30"/>
      <c r="AD356" s="31"/>
      <c r="AE356" s="30"/>
      <c r="AF356" s="30"/>
      <c r="AG356" s="33"/>
      <c r="AH356" s="32"/>
      <c r="AI356" s="30"/>
      <c r="AJ356" s="30"/>
    </row>
    <row x14ac:dyDescent="0.25" r="357" customHeight="1" ht="17.25">
      <c r="A357" s="33"/>
      <c r="B357" s="31"/>
      <c r="C357" s="31"/>
      <c r="D357" s="57"/>
      <c r="E357" s="31"/>
      <c r="F357" s="31"/>
      <c r="G357" s="31"/>
      <c r="H357" s="32"/>
      <c r="I357" s="33"/>
      <c r="J357" s="32"/>
      <c r="K357" s="33"/>
      <c r="L357" s="32"/>
      <c r="M357" s="30"/>
      <c r="N357" s="30"/>
      <c r="O357" s="31"/>
      <c r="P357" s="32"/>
      <c r="Q357" s="30"/>
      <c r="R357" s="31"/>
      <c r="S357" s="30"/>
      <c r="T357" s="30"/>
      <c r="U357" s="33"/>
      <c r="V357" s="32"/>
      <c r="W357" s="30"/>
      <c r="X357" s="30"/>
      <c r="Y357" s="30"/>
      <c r="Z357" s="30"/>
      <c r="AA357" s="31"/>
      <c r="AB357" s="32"/>
      <c r="AC357" s="30"/>
      <c r="AD357" s="31"/>
      <c r="AE357" s="30"/>
      <c r="AF357" s="30"/>
      <c r="AG357" s="33"/>
      <c r="AH357" s="32"/>
      <c r="AI357" s="30"/>
      <c r="AJ357" s="30"/>
    </row>
    <row x14ac:dyDescent="0.25" r="358" customHeight="1" ht="17.25">
      <c r="A358" s="33"/>
      <c r="B358" s="31"/>
      <c r="C358" s="31"/>
      <c r="D358" s="57"/>
      <c r="E358" s="31"/>
      <c r="F358" s="31"/>
      <c r="G358" s="31"/>
      <c r="H358" s="32"/>
      <c r="I358" s="33"/>
      <c r="J358" s="32"/>
      <c r="K358" s="33"/>
      <c r="L358" s="32"/>
      <c r="M358" s="30"/>
      <c r="N358" s="30"/>
      <c r="O358" s="31"/>
      <c r="P358" s="32"/>
      <c r="Q358" s="30"/>
      <c r="R358" s="31"/>
      <c r="S358" s="30"/>
      <c r="T358" s="30"/>
      <c r="U358" s="33"/>
      <c r="V358" s="32"/>
      <c r="W358" s="30"/>
      <c r="X358" s="30"/>
      <c r="Y358" s="30"/>
      <c r="Z358" s="30"/>
      <c r="AA358" s="31"/>
      <c r="AB358" s="32"/>
      <c r="AC358" s="30"/>
      <c r="AD358" s="31"/>
      <c r="AE358" s="30"/>
      <c r="AF358" s="30"/>
      <c r="AG358" s="33"/>
      <c r="AH358" s="32"/>
      <c r="AI358" s="30"/>
      <c r="AJ358" s="30"/>
    </row>
    <row x14ac:dyDescent="0.25" r="359" customHeight="1" ht="17.25">
      <c r="A359" s="33"/>
      <c r="B359" s="31"/>
      <c r="C359" s="31"/>
      <c r="D359" s="57"/>
      <c r="E359" s="31"/>
      <c r="F359" s="31"/>
      <c r="G359" s="31"/>
      <c r="H359" s="32"/>
      <c r="I359" s="33"/>
      <c r="J359" s="32"/>
      <c r="K359" s="33"/>
      <c r="L359" s="32"/>
      <c r="M359" s="30"/>
      <c r="N359" s="30"/>
      <c r="O359" s="31"/>
      <c r="P359" s="32"/>
      <c r="Q359" s="30"/>
      <c r="R359" s="31"/>
      <c r="S359" s="30"/>
      <c r="T359" s="30"/>
      <c r="U359" s="33"/>
      <c r="V359" s="32"/>
      <c r="W359" s="30"/>
      <c r="X359" s="30"/>
      <c r="Y359" s="30"/>
      <c r="Z359" s="30"/>
      <c r="AA359" s="31"/>
      <c r="AB359" s="32"/>
      <c r="AC359" s="30"/>
      <c r="AD359" s="31"/>
      <c r="AE359" s="30"/>
      <c r="AF359" s="30"/>
      <c r="AG359" s="33"/>
      <c r="AH359" s="32"/>
      <c r="AI359" s="30"/>
      <c r="AJ359" s="30"/>
    </row>
    <row x14ac:dyDescent="0.25" r="360" customHeight="1" ht="17.25">
      <c r="A360" s="33"/>
      <c r="B360" s="31"/>
      <c r="C360" s="31"/>
      <c r="D360" s="57"/>
      <c r="E360" s="31"/>
      <c r="F360" s="31"/>
      <c r="G360" s="31"/>
      <c r="H360" s="32"/>
      <c r="I360" s="33"/>
      <c r="J360" s="32"/>
      <c r="K360" s="33"/>
      <c r="L360" s="32"/>
      <c r="M360" s="30"/>
      <c r="N360" s="30"/>
      <c r="O360" s="31"/>
      <c r="P360" s="32"/>
      <c r="Q360" s="30"/>
      <c r="R360" s="31"/>
      <c r="S360" s="30"/>
      <c r="T360" s="30"/>
      <c r="U360" s="33"/>
      <c r="V360" s="32"/>
      <c r="W360" s="30"/>
      <c r="X360" s="30"/>
      <c r="Y360" s="30"/>
      <c r="Z360" s="30"/>
      <c r="AA360" s="31"/>
      <c r="AB360" s="32"/>
      <c r="AC360" s="30"/>
      <c r="AD360" s="31"/>
      <c r="AE360" s="30"/>
      <c r="AF360" s="30"/>
      <c r="AG360" s="33"/>
      <c r="AH360" s="32"/>
      <c r="AI360" s="30"/>
      <c r="AJ360" s="30"/>
    </row>
    <row x14ac:dyDescent="0.25" r="361" customHeight="1" ht="17.25">
      <c r="A361" s="33"/>
      <c r="B361" s="31"/>
      <c r="C361" s="31"/>
      <c r="D361" s="57"/>
      <c r="E361" s="31"/>
      <c r="F361" s="31"/>
      <c r="G361" s="31"/>
      <c r="H361" s="32"/>
      <c r="I361" s="33"/>
      <c r="J361" s="32"/>
      <c r="K361" s="33"/>
      <c r="L361" s="32"/>
      <c r="M361" s="30"/>
      <c r="N361" s="30"/>
      <c r="O361" s="31"/>
      <c r="P361" s="32"/>
      <c r="Q361" s="30"/>
      <c r="R361" s="31"/>
      <c r="S361" s="30"/>
      <c r="T361" s="30"/>
      <c r="U361" s="33"/>
      <c r="V361" s="32"/>
      <c r="W361" s="30"/>
      <c r="X361" s="30"/>
      <c r="Y361" s="30"/>
      <c r="Z361" s="30"/>
      <c r="AA361" s="31"/>
      <c r="AB361" s="32"/>
      <c r="AC361" s="30"/>
      <c r="AD361" s="31"/>
      <c r="AE361" s="30"/>
      <c r="AF361" s="30"/>
      <c r="AG361" s="33"/>
      <c r="AH361" s="32"/>
      <c r="AI361" s="30"/>
      <c r="AJ361" s="30"/>
    </row>
    <row x14ac:dyDescent="0.25" r="362" customHeight="1" ht="17.25">
      <c r="A362" s="33"/>
      <c r="B362" s="31"/>
      <c r="C362" s="31"/>
      <c r="D362" s="57"/>
      <c r="E362" s="31"/>
      <c r="F362" s="31"/>
      <c r="G362" s="31"/>
      <c r="H362" s="32"/>
      <c r="I362" s="33"/>
      <c r="J362" s="32"/>
      <c r="K362" s="33"/>
      <c r="L362" s="32"/>
      <c r="M362" s="30"/>
      <c r="N362" s="30"/>
      <c r="O362" s="31"/>
      <c r="P362" s="32"/>
      <c r="Q362" s="30"/>
      <c r="R362" s="31"/>
      <c r="S362" s="30"/>
      <c r="T362" s="30"/>
      <c r="U362" s="33"/>
      <c r="V362" s="32"/>
      <c r="W362" s="30"/>
      <c r="X362" s="30"/>
      <c r="Y362" s="30"/>
      <c r="Z362" s="30"/>
      <c r="AA362" s="31"/>
      <c r="AB362" s="32"/>
      <c r="AC362" s="30"/>
      <c r="AD362" s="31"/>
      <c r="AE362" s="30"/>
      <c r="AF362" s="30"/>
      <c r="AG362" s="33"/>
      <c r="AH362" s="32"/>
      <c r="AI362" s="30"/>
      <c r="AJ362" s="30"/>
    </row>
    <row x14ac:dyDescent="0.25" r="363" customHeight="1" ht="17.25">
      <c r="A363" s="33"/>
      <c r="B363" s="31"/>
      <c r="C363" s="31"/>
      <c r="D363" s="57"/>
      <c r="E363" s="31"/>
      <c r="F363" s="31"/>
      <c r="G363" s="31"/>
      <c r="H363" s="32"/>
      <c r="I363" s="33"/>
      <c r="J363" s="32"/>
      <c r="K363" s="33"/>
      <c r="L363" s="32"/>
      <c r="M363" s="30"/>
      <c r="N363" s="30"/>
      <c r="O363" s="31"/>
      <c r="P363" s="32"/>
      <c r="Q363" s="30"/>
      <c r="R363" s="31"/>
      <c r="S363" s="30"/>
      <c r="T363" s="30"/>
      <c r="U363" s="33"/>
      <c r="V363" s="32"/>
      <c r="W363" s="30"/>
      <c r="X363" s="30"/>
      <c r="Y363" s="30"/>
      <c r="Z363" s="30"/>
      <c r="AA363" s="31"/>
      <c r="AB363" s="32"/>
      <c r="AC363" s="30"/>
      <c r="AD363" s="31"/>
      <c r="AE363" s="30"/>
      <c r="AF363" s="30"/>
      <c r="AG363" s="33"/>
      <c r="AH363" s="32"/>
      <c r="AI363" s="30"/>
      <c r="AJ363" s="30"/>
    </row>
    <row x14ac:dyDescent="0.25" r="364" customHeight="1" ht="17.25">
      <c r="A364" s="33"/>
      <c r="B364" s="31"/>
      <c r="C364" s="31"/>
      <c r="D364" s="57"/>
      <c r="E364" s="31"/>
      <c r="F364" s="31"/>
      <c r="G364" s="31"/>
      <c r="H364" s="32"/>
      <c r="I364" s="33"/>
      <c r="J364" s="32"/>
      <c r="K364" s="33"/>
      <c r="L364" s="32"/>
      <c r="M364" s="30"/>
      <c r="N364" s="30"/>
      <c r="O364" s="31"/>
      <c r="P364" s="32"/>
      <c r="Q364" s="30"/>
      <c r="R364" s="31"/>
      <c r="S364" s="30"/>
      <c r="T364" s="30"/>
      <c r="U364" s="33"/>
      <c r="V364" s="32"/>
      <c r="W364" s="30"/>
      <c r="X364" s="30"/>
      <c r="Y364" s="30"/>
      <c r="Z364" s="30"/>
      <c r="AA364" s="31"/>
      <c r="AB364" s="32"/>
      <c r="AC364" s="30"/>
      <c r="AD364" s="31"/>
      <c r="AE364" s="30"/>
      <c r="AF364" s="30"/>
      <c r="AG364" s="33"/>
      <c r="AH364" s="32"/>
      <c r="AI364" s="30"/>
      <c r="AJ364" s="30"/>
    </row>
    <row x14ac:dyDescent="0.25" r="365" customHeight="1" ht="17.25">
      <c r="A365" s="33"/>
      <c r="B365" s="31"/>
      <c r="C365" s="31"/>
      <c r="D365" s="57"/>
      <c r="E365" s="31"/>
      <c r="F365" s="31"/>
      <c r="G365" s="31"/>
      <c r="H365" s="32"/>
      <c r="I365" s="33"/>
      <c r="J365" s="32"/>
      <c r="K365" s="33"/>
      <c r="L365" s="32"/>
      <c r="M365" s="30"/>
      <c r="N365" s="30"/>
      <c r="O365" s="31"/>
      <c r="P365" s="32"/>
      <c r="Q365" s="30"/>
      <c r="R365" s="31"/>
      <c r="S365" s="30"/>
      <c r="T365" s="30"/>
      <c r="U365" s="33"/>
      <c r="V365" s="32"/>
      <c r="W365" s="30"/>
      <c r="X365" s="30"/>
      <c r="Y365" s="30"/>
      <c r="Z365" s="30"/>
      <c r="AA365" s="31"/>
      <c r="AB365" s="32"/>
      <c r="AC365" s="30"/>
      <c r="AD365" s="31"/>
      <c r="AE365" s="30"/>
      <c r="AF365" s="30"/>
      <c r="AG365" s="33"/>
      <c r="AH365" s="32"/>
      <c r="AI365" s="30"/>
      <c r="AJ365" s="30"/>
    </row>
    <row x14ac:dyDescent="0.25" r="366" customHeight="1" ht="17.25">
      <c r="A366" s="33"/>
      <c r="B366" s="31"/>
      <c r="C366" s="31"/>
      <c r="D366" s="57"/>
      <c r="E366" s="31"/>
      <c r="F366" s="31"/>
      <c r="G366" s="31"/>
      <c r="H366" s="32"/>
      <c r="I366" s="33"/>
      <c r="J366" s="32"/>
      <c r="K366" s="33"/>
      <c r="L366" s="32"/>
      <c r="M366" s="30"/>
      <c r="N366" s="30"/>
      <c r="O366" s="31"/>
      <c r="P366" s="32"/>
      <c r="Q366" s="30"/>
      <c r="R366" s="31"/>
      <c r="S366" s="30"/>
      <c r="T366" s="30"/>
      <c r="U366" s="33"/>
      <c r="V366" s="32"/>
      <c r="W366" s="30"/>
      <c r="X366" s="30"/>
      <c r="Y366" s="30"/>
      <c r="Z366" s="30"/>
      <c r="AA366" s="31"/>
      <c r="AB366" s="32"/>
      <c r="AC366" s="30"/>
      <c r="AD366" s="31"/>
      <c r="AE366" s="30"/>
      <c r="AF366" s="30"/>
      <c r="AG366" s="33"/>
      <c r="AH366" s="32"/>
      <c r="AI366" s="30"/>
      <c r="AJ366" s="30"/>
    </row>
    <row x14ac:dyDescent="0.25" r="367" customHeight="1" ht="17.25">
      <c r="A367" s="33"/>
      <c r="B367" s="31"/>
      <c r="C367" s="31"/>
      <c r="D367" s="57"/>
      <c r="E367" s="31"/>
      <c r="F367" s="31"/>
      <c r="G367" s="31"/>
      <c r="H367" s="32"/>
      <c r="I367" s="33"/>
      <c r="J367" s="32"/>
      <c r="K367" s="33"/>
      <c r="L367" s="32"/>
      <c r="M367" s="30"/>
      <c r="N367" s="30"/>
      <c r="O367" s="31"/>
      <c r="P367" s="32"/>
      <c r="Q367" s="30"/>
      <c r="R367" s="31"/>
      <c r="S367" s="30"/>
      <c r="T367" s="30"/>
      <c r="U367" s="33"/>
      <c r="V367" s="32"/>
      <c r="W367" s="30"/>
      <c r="X367" s="30"/>
      <c r="Y367" s="30"/>
      <c r="Z367" s="30"/>
      <c r="AA367" s="31"/>
      <c r="AB367" s="32"/>
      <c r="AC367" s="30"/>
      <c r="AD367" s="31"/>
      <c r="AE367" s="30"/>
      <c r="AF367" s="30"/>
      <c r="AG367" s="33"/>
      <c r="AH367" s="32"/>
      <c r="AI367" s="30"/>
      <c r="AJ367" s="30"/>
    </row>
    <row x14ac:dyDescent="0.25" r="368" customHeight="1" ht="17.25">
      <c r="A368" s="33"/>
      <c r="B368" s="31"/>
      <c r="C368" s="31"/>
      <c r="D368" s="57"/>
      <c r="E368" s="31"/>
      <c r="F368" s="31"/>
      <c r="G368" s="31"/>
      <c r="H368" s="32"/>
      <c r="I368" s="33"/>
      <c r="J368" s="32"/>
      <c r="K368" s="33"/>
      <c r="L368" s="32"/>
      <c r="M368" s="30"/>
      <c r="N368" s="30"/>
      <c r="O368" s="31"/>
      <c r="P368" s="32"/>
      <c r="Q368" s="30"/>
      <c r="R368" s="31"/>
      <c r="S368" s="30"/>
      <c r="T368" s="30"/>
      <c r="U368" s="33"/>
      <c r="V368" s="32"/>
      <c r="W368" s="30"/>
      <c r="X368" s="30"/>
      <c r="Y368" s="30"/>
      <c r="Z368" s="30"/>
      <c r="AA368" s="31"/>
      <c r="AB368" s="32"/>
      <c r="AC368" s="30"/>
      <c r="AD368" s="31"/>
      <c r="AE368" s="30"/>
      <c r="AF368" s="30"/>
      <c r="AG368" s="33"/>
      <c r="AH368" s="32"/>
      <c r="AI368" s="30"/>
      <c r="AJ368" s="30"/>
    </row>
    <row x14ac:dyDescent="0.25" r="369" customHeight="1" ht="17.25">
      <c r="A369" s="33"/>
      <c r="B369" s="31"/>
      <c r="C369" s="31"/>
      <c r="D369" s="57"/>
      <c r="E369" s="31"/>
      <c r="F369" s="31"/>
      <c r="G369" s="31"/>
      <c r="H369" s="32"/>
      <c r="I369" s="33"/>
      <c r="J369" s="32"/>
      <c r="K369" s="33"/>
      <c r="L369" s="32"/>
      <c r="M369" s="30"/>
      <c r="N369" s="30"/>
      <c r="O369" s="31"/>
      <c r="P369" s="32"/>
      <c r="Q369" s="30"/>
      <c r="R369" s="31"/>
      <c r="S369" s="30"/>
      <c r="T369" s="30"/>
      <c r="U369" s="33"/>
      <c r="V369" s="32"/>
      <c r="W369" s="30"/>
      <c r="X369" s="30"/>
      <c r="Y369" s="30"/>
      <c r="Z369" s="30"/>
      <c r="AA369" s="31"/>
      <c r="AB369" s="32"/>
      <c r="AC369" s="30"/>
      <c r="AD369" s="31"/>
      <c r="AE369" s="30"/>
      <c r="AF369" s="30"/>
      <c r="AG369" s="33"/>
      <c r="AH369" s="32"/>
      <c r="AI369" s="30"/>
      <c r="AJ369" s="30"/>
    </row>
    <row x14ac:dyDescent="0.25" r="370" customHeight="1" ht="17.25">
      <c r="A370" s="33"/>
      <c r="B370" s="31"/>
      <c r="C370" s="31"/>
      <c r="D370" s="57"/>
      <c r="E370" s="31"/>
      <c r="F370" s="31"/>
      <c r="G370" s="31"/>
      <c r="H370" s="32"/>
      <c r="I370" s="33"/>
      <c r="J370" s="32"/>
      <c r="K370" s="33"/>
      <c r="L370" s="32"/>
      <c r="M370" s="30"/>
      <c r="N370" s="30"/>
      <c r="O370" s="31"/>
      <c r="P370" s="32"/>
      <c r="Q370" s="30"/>
      <c r="R370" s="31"/>
      <c r="S370" s="30"/>
      <c r="T370" s="30"/>
      <c r="U370" s="33"/>
      <c r="V370" s="32"/>
      <c r="W370" s="30"/>
      <c r="X370" s="30"/>
      <c r="Y370" s="30"/>
      <c r="Z370" s="30"/>
      <c r="AA370" s="31"/>
      <c r="AB370" s="32"/>
      <c r="AC370" s="30"/>
      <c r="AD370" s="31"/>
      <c r="AE370" s="30"/>
      <c r="AF370" s="30"/>
      <c r="AG370" s="33"/>
      <c r="AH370" s="32"/>
      <c r="AI370" s="30"/>
      <c r="AJ370" s="30"/>
    </row>
    <row x14ac:dyDescent="0.25" r="371" customHeight="1" ht="17.25">
      <c r="A371" s="33"/>
      <c r="B371" s="31"/>
      <c r="C371" s="31"/>
      <c r="D371" s="57"/>
      <c r="E371" s="31"/>
      <c r="F371" s="31"/>
      <c r="G371" s="31"/>
      <c r="H371" s="32"/>
      <c r="I371" s="33"/>
      <c r="J371" s="32"/>
      <c r="K371" s="33"/>
      <c r="L371" s="32"/>
      <c r="M371" s="30"/>
      <c r="N371" s="30"/>
      <c r="O371" s="31"/>
      <c r="P371" s="32"/>
      <c r="Q371" s="30"/>
      <c r="R371" s="31"/>
      <c r="S371" s="30"/>
      <c r="T371" s="30"/>
      <c r="U371" s="33"/>
      <c r="V371" s="32"/>
      <c r="W371" s="30"/>
      <c r="X371" s="30"/>
      <c r="Y371" s="30"/>
      <c r="Z371" s="30"/>
      <c r="AA371" s="31"/>
      <c r="AB371" s="32"/>
      <c r="AC371" s="30"/>
      <c r="AD371" s="31"/>
      <c r="AE371" s="30"/>
      <c r="AF371" s="30"/>
      <c r="AG371" s="33"/>
      <c r="AH371" s="32"/>
      <c r="AI371" s="30"/>
      <c r="AJ371" s="30"/>
    </row>
    <row x14ac:dyDescent="0.25" r="372" customHeight="1" ht="17.25">
      <c r="A372" s="33"/>
      <c r="B372" s="31"/>
      <c r="C372" s="31"/>
      <c r="D372" s="57"/>
      <c r="E372" s="31"/>
      <c r="F372" s="31"/>
      <c r="G372" s="31"/>
      <c r="H372" s="32"/>
      <c r="I372" s="33"/>
      <c r="J372" s="32"/>
      <c r="K372" s="33"/>
      <c r="L372" s="32"/>
      <c r="M372" s="30"/>
      <c r="N372" s="30"/>
      <c r="O372" s="31"/>
      <c r="P372" s="32"/>
      <c r="Q372" s="30"/>
      <c r="R372" s="31"/>
      <c r="S372" s="30"/>
      <c r="T372" s="30"/>
      <c r="U372" s="33"/>
      <c r="V372" s="32"/>
      <c r="W372" s="30"/>
      <c r="X372" s="30"/>
      <c r="Y372" s="30"/>
      <c r="Z372" s="30"/>
      <c r="AA372" s="31"/>
      <c r="AB372" s="32"/>
      <c r="AC372" s="30"/>
      <c r="AD372" s="31"/>
      <c r="AE372" s="30"/>
      <c r="AF372" s="30"/>
      <c r="AG372" s="33"/>
      <c r="AH372" s="32"/>
      <c r="AI372" s="30"/>
      <c r="AJ372" s="30"/>
    </row>
    <row x14ac:dyDescent="0.25" r="373" customHeight="1" ht="17.25">
      <c r="A373" s="33"/>
      <c r="B373" s="31"/>
      <c r="C373" s="31"/>
      <c r="D373" s="57"/>
      <c r="E373" s="31"/>
      <c r="F373" s="31"/>
      <c r="G373" s="31"/>
      <c r="H373" s="32"/>
      <c r="I373" s="33"/>
      <c r="J373" s="32"/>
      <c r="K373" s="33"/>
      <c r="L373" s="32"/>
      <c r="M373" s="30"/>
      <c r="N373" s="30"/>
      <c r="O373" s="31"/>
      <c r="P373" s="32"/>
      <c r="Q373" s="30"/>
      <c r="R373" s="31"/>
      <c r="S373" s="30"/>
      <c r="T373" s="30"/>
      <c r="U373" s="33"/>
      <c r="V373" s="32"/>
      <c r="W373" s="30"/>
      <c r="X373" s="30"/>
      <c r="Y373" s="30"/>
      <c r="Z373" s="30"/>
      <c r="AA373" s="31"/>
      <c r="AB373" s="32"/>
      <c r="AC373" s="30"/>
      <c r="AD373" s="31"/>
      <c r="AE373" s="30"/>
      <c r="AF373" s="30"/>
      <c r="AG373" s="33"/>
      <c r="AH373" s="32"/>
      <c r="AI373" s="30"/>
      <c r="AJ373" s="30"/>
    </row>
    <row x14ac:dyDescent="0.25" r="374" customHeight="1" ht="17.25">
      <c r="A374" s="33"/>
      <c r="B374" s="31"/>
      <c r="C374" s="31"/>
      <c r="D374" s="57"/>
      <c r="E374" s="31"/>
      <c r="F374" s="31"/>
      <c r="G374" s="31"/>
      <c r="H374" s="32"/>
      <c r="I374" s="33"/>
      <c r="J374" s="32"/>
      <c r="K374" s="33"/>
      <c r="L374" s="32"/>
      <c r="M374" s="30"/>
      <c r="N374" s="30"/>
      <c r="O374" s="31"/>
      <c r="P374" s="32"/>
      <c r="Q374" s="30"/>
      <c r="R374" s="31"/>
      <c r="S374" s="30"/>
      <c r="T374" s="30"/>
      <c r="U374" s="33"/>
      <c r="V374" s="32"/>
      <c r="W374" s="30"/>
      <c r="X374" s="30"/>
      <c r="Y374" s="30"/>
      <c r="Z374" s="30"/>
      <c r="AA374" s="31"/>
      <c r="AB374" s="32"/>
      <c r="AC374" s="30"/>
      <c r="AD374" s="31"/>
      <c r="AE374" s="30"/>
      <c r="AF374" s="30"/>
      <c r="AG374" s="33"/>
      <c r="AH374" s="32"/>
      <c r="AI374" s="30"/>
      <c r="AJ374" s="30"/>
    </row>
    <row x14ac:dyDescent="0.25" r="375" customHeight="1" ht="17.25">
      <c r="A375" s="33"/>
      <c r="B375" s="31"/>
      <c r="C375" s="31"/>
      <c r="D375" s="57"/>
      <c r="E375" s="31"/>
      <c r="F375" s="31"/>
      <c r="G375" s="31"/>
      <c r="H375" s="32"/>
      <c r="I375" s="33"/>
      <c r="J375" s="32"/>
      <c r="K375" s="33"/>
      <c r="L375" s="32"/>
      <c r="M375" s="30"/>
      <c r="N375" s="30"/>
      <c r="O375" s="31"/>
      <c r="P375" s="32"/>
      <c r="Q375" s="30"/>
      <c r="R375" s="31"/>
      <c r="S375" s="30"/>
      <c r="T375" s="30"/>
      <c r="U375" s="33"/>
      <c r="V375" s="32"/>
      <c r="W375" s="30"/>
      <c r="X375" s="30"/>
      <c r="Y375" s="30"/>
      <c r="Z375" s="30"/>
      <c r="AA375" s="31"/>
      <c r="AB375" s="32"/>
      <c r="AC375" s="30"/>
      <c r="AD375" s="31"/>
      <c r="AE375" s="30"/>
      <c r="AF375" s="30"/>
      <c r="AG375" s="33"/>
      <c r="AH375" s="32"/>
      <c r="AI375" s="30"/>
      <c r="AJ375" s="30"/>
    </row>
    <row x14ac:dyDescent="0.25" r="376" customHeight="1" ht="17.25">
      <c r="A376" s="33"/>
      <c r="B376" s="31"/>
      <c r="C376" s="31"/>
      <c r="D376" s="57"/>
      <c r="E376" s="31"/>
      <c r="F376" s="31"/>
      <c r="G376" s="31"/>
      <c r="H376" s="32"/>
      <c r="I376" s="33"/>
      <c r="J376" s="32"/>
      <c r="K376" s="33"/>
      <c r="L376" s="32"/>
      <c r="M376" s="30"/>
      <c r="N376" s="30"/>
      <c r="O376" s="31"/>
      <c r="P376" s="32"/>
      <c r="Q376" s="30"/>
      <c r="R376" s="31"/>
      <c r="S376" s="30"/>
      <c r="T376" s="30"/>
      <c r="U376" s="33"/>
      <c r="V376" s="32"/>
      <c r="W376" s="30"/>
      <c r="X376" s="30"/>
      <c r="Y376" s="30"/>
      <c r="Z376" s="30"/>
      <c r="AA376" s="31"/>
      <c r="AB376" s="32"/>
      <c r="AC376" s="30"/>
      <c r="AD376" s="31"/>
      <c r="AE376" s="30"/>
      <c r="AF376" s="30"/>
      <c r="AG376" s="33"/>
      <c r="AH376" s="32"/>
      <c r="AI376" s="30"/>
      <c r="AJ376" s="30"/>
    </row>
    <row x14ac:dyDescent="0.25" r="377" customHeight="1" ht="17.25">
      <c r="A377" s="33"/>
      <c r="B377" s="31"/>
      <c r="C377" s="31"/>
      <c r="D377" s="57"/>
      <c r="E377" s="31"/>
      <c r="F377" s="31"/>
      <c r="G377" s="31"/>
      <c r="H377" s="32"/>
      <c r="I377" s="33"/>
      <c r="J377" s="32"/>
      <c r="K377" s="33"/>
      <c r="L377" s="32"/>
      <c r="M377" s="30"/>
      <c r="N377" s="30"/>
      <c r="O377" s="31"/>
      <c r="P377" s="32"/>
      <c r="Q377" s="30"/>
      <c r="R377" s="31"/>
      <c r="S377" s="30"/>
      <c r="T377" s="30"/>
      <c r="U377" s="33"/>
      <c r="V377" s="32"/>
      <c r="W377" s="30"/>
      <c r="X377" s="30"/>
      <c r="Y377" s="30"/>
      <c r="Z377" s="30"/>
      <c r="AA377" s="31"/>
      <c r="AB377" s="32"/>
      <c r="AC377" s="30"/>
      <c r="AD377" s="31"/>
      <c r="AE377" s="30"/>
      <c r="AF377" s="30"/>
      <c r="AG377" s="33"/>
      <c r="AH377" s="32"/>
      <c r="AI377" s="30"/>
      <c r="AJ377" s="30"/>
    </row>
    <row x14ac:dyDescent="0.25" r="378" customHeight="1" ht="17.25">
      <c r="A378" s="33"/>
      <c r="B378" s="31"/>
      <c r="C378" s="31"/>
      <c r="D378" s="57"/>
      <c r="E378" s="31"/>
      <c r="F378" s="31"/>
      <c r="G378" s="31"/>
      <c r="H378" s="32"/>
      <c r="I378" s="33"/>
      <c r="J378" s="32"/>
      <c r="K378" s="33"/>
      <c r="L378" s="32"/>
      <c r="M378" s="30"/>
      <c r="N378" s="30"/>
      <c r="O378" s="31"/>
      <c r="P378" s="32"/>
      <c r="Q378" s="30"/>
      <c r="R378" s="31"/>
      <c r="S378" s="30"/>
      <c r="T378" s="30"/>
      <c r="U378" s="33"/>
      <c r="V378" s="32"/>
      <c r="W378" s="30"/>
      <c r="X378" s="30"/>
      <c r="Y378" s="30"/>
      <c r="Z378" s="30"/>
      <c r="AA378" s="31"/>
      <c r="AB378" s="32"/>
      <c r="AC378" s="30"/>
      <c r="AD378" s="31"/>
      <c r="AE378" s="30"/>
      <c r="AF378" s="30"/>
      <c r="AG378" s="33"/>
      <c r="AH378" s="32"/>
      <c r="AI378" s="30"/>
      <c r="AJ378" s="30"/>
    </row>
    <row x14ac:dyDescent="0.25" r="379" customHeight="1" ht="17.25">
      <c r="A379" s="33"/>
      <c r="B379" s="31"/>
      <c r="C379" s="31"/>
      <c r="D379" s="57"/>
      <c r="E379" s="31"/>
      <c r="F379" s="31"/>
      <c r="G379" s="31"/>
      <c r="H379" s="32"/>
      <c r="I379" s="33"/>
      <c r="J379" s="32"/>
      <c r="K379" s="33"/>
      <c r="L379" s="32"/>
      <c r="M379" s="30"/>
      <c r="N379" s="30"/>
      <c r="O379" s="31"/>
      <c r="P379" s="32"/>
      <c r="Q379" s="30"/>
      <c r="R379" s="31"/>
      <c r="S379" s="30"/>
      <c r="T379" s="30"/>
      <c r="U379" s="33"/>
      <c r="V379" s="32"/>
      <c r="W379" s="30"/>
      <c r="X379" s="30"/>
      <c r="Y379" s="30"/>
      <c r="Z379" s="30"/>
      <c r="AA379" s="31"/>
      <c r="AB379" s="32"/>
      <c r="AC379" s="30"/>
      <c r="AD379" s="31"/>
      <c r="AE379" s="30"/>
      <c r="AF379" s="30"/>
      <c r="AG379" s="33"/>
      <c r="AH379" s="32"/>
      <c r="AI379" s="30"/>
      <c r="AJ379" s="30"/>
    </row>
    <row x14ac:dyDescent="0.25" r="380" customHeight="1" ht="17.25">
      <c r="A380" s="33"/>
      <c r="B380" s="31"/>
      <c r="C380" s="31"/>
      <c r="D380" s="57"/>
      <c r="E380" s="31"/>
      <c r="F380" s="31"/>
      <c r="G380" s="31"/>
      <c r="H380" s="32"/>
      <c r="I380" s="33"/>
      <c r="J380" s="32"/>
      <c r="K380" s="33"/>
      <c r="L380" s="32"/>
      <c r="M380" s="30"/>
      <c r="N380" s="30"/>
      <c r="O380" s="31"/>
      <c r="P380" s="32"/>
      <c r="Q380" s="30"/>
      <c r="R380" s="31"/>
      <c r="S380" s="30"/>
      <c r="T380" s="30"/>
      <c r="U380" s="33"/>
      <c r="V380" s="32"/>
      <c r="W380" s="30"/>
      <c r="X380" s="30"/>
      <c r="Y380" s="30"/>
      <c r="Z380" s="30"/>
      <c r="AA380" s="31"/>
      <c r="AB380" s="32"/>
      <c r="AC380" s="30"/>
      <c r="AD380" s="31"/>
      <c r="AE380" s="30"/>
      <c r="AF380" s="30"/>
      <c r="AG380" s="33"/>
      <c r="AH380" s="32"/>
      <c r="AI380" s="30"/>
      <c r="AJ380" s="30"/>
    </row>
    <row x14ac:dyDescent="0.25" r="381" customHeight="1" ht="17.25">
      <c r="A381" s="33"/>
      <c r="B381" s="31"/>
      <c r="C381" s="31"/>
      <c r="D381" s="57"/>
      <c r="E381" s="31"/>
      <c r="F381" s="31"/>
      <c r="G381" s="31"/>
      <c r="H381" s="32"/>
      <c r="I381" s="33"/>
      <c r="J381" s="32"/>
      <c r="K381" s="33"/>
      <c r="L381" s="32"/>
      <c r="M381" s="30"/>
      <c r="N381" s="30"/>
      <c r="O381" s="31"/>
      <c r="P381" s="32"/>
      <c r="Q381" s="30"/>
      <c r="R381" s="31"/>
      <c r="S381" s="30"/>
      <c r="T381" s="30"/>
      <c r="U381" s="33"/>
      <c r="V381" s="32"/>
      <c r="W381" s="30"/>
      <c r="X381" s="30"/>
      <c r="Y381" s="30"/>
      <c r="Z381" s="30"/>
      <c r="AA381" s="31"/>
      <c r="AB381" s="32"/>
      <c r="AC381" s="30"/>
      <c r="AD381" s="31"/>
      <c r="AE381" s="30"/>
      <c r="AF381" s="30"/>
      <c r="AG381" s="33"/>
      <c r="AH381" s="32"/>
      <c r="AI381" s="30"/>
      <c r="AJ381" s="30"/>
    </row>
    <row x14ac:dyDescent="0.25" r="382" customHeight="1" ht="17.25">
      <c r="A382" s="33"/>
      <c r="B382" s="31"/>
      <c r="C382" s="31"/>
      <c r="D382" s="57"/>
      <c r="E382" s="31"/>
      <c r="F382" s="31"/>
      <c r="G382" s="31"/>
      <c r="H382" s="32"/>
      <c r="I382" s="33"/>
      <c r="J382" s="32"/>
      <c r="K382" s="33"/>
      <c r="L382" s="32"/>
      <c r="M382" s="30"/>
      <c r="N382" s="30"/>
      <c r="O382" s="31"/>
      <c r="P382" s="32"/>
      <c r="Q382" s="30"/>
      <c r="R382" s="31"/>
      <c r="S382" s="30"/>
      <c r="T382" s="30"/>
      <c r="U382" s="33"/>
      <c r="V382" s="32"/>
      <c r="W382" s="30"/>
      <c r="X382" s="30"/>
      <c r="Y382" s="30"/>
      <c r="Z382" s="30"/>
      <c r="AA382" s="31"/>
      <c r="AB382" s="32"/>
      <c r="AC382" s="30"/>
      <c r="AD382" s="31"/>
      <c r="AE382" s="30"/>
      <c r="AF382" s="30"/>
      <c r="AG382" s="33"/>
      <c r="AH382" s="32"/>
      <c r="AI382" s="30"/>
      <c r="AJ382" s="30"/>
    </row>
    <row x14ac:dyDescent="0.25" r="383" customHeight="1" ht="17.25">
      <c r="A383" s="33"/>
      <c r="B383" s="31"/>
      <c r="C383" s="31"/>
      <c r="D383" s="57"/>
      <c r="E383" s="31"/>
      <c r="F383" s="31"/>
      <c r="G383" s="31"/>
      <c r="H383" s="32"/>
      <c r="I383" s="33"/>
      <c r="J383" s="32"/>
      <c r="K383" s="33"/>
      <c r="L383" s="32"/>
      <c r="M383" s="30"/>
      <c r="N383" s="30"/>
      <c r="O383" s="31"/>
      <c r="P383" s="32"/>
      <c r="Q383" s="30"/>
      <c r="R383" s="31"/>
      <c r="S383" s="30"/>
      <c r="T383" s="30"/>
      <c r="U383" s="33"/>
      <c r="V383" s="32"/>
      <c r="W383" s="30"/>
      <c r="X383" s="30"/>
      <c r="Y383" s="30"/>
      <c r="Z383" s="30"/>
      <c r="AA383" s="31"/>
      <c r="AB383" s="32"/>
      <c r="AC383" s="30"/>
      <c r="AD383" s="31"/>
      <c r="AE383" s="30"/>
      <c r="AF383" s="30"/>
      <c r="AG383" s="33"/>
      <c r="AH383" s="32"/>
      <c r="AI383" s="30"/>
      <c r="AJ383" s="30"/>
    </row>
    <row x14ac:dyDescent="0.25" r="384" customHeight="1" ht="17.25">
      <c r="A384" s="33"/>
      <c r="B384" s="31"/>
      <c r="C384" s="31"/>
      <c r="D384" s="57"/>
      <c r="E384" s="31"/>
      <c r="F384" s="31"/>
      <c r="G384" s="31"/>
      <c r="H384" s="32"/>
      <c r="I384" s="33"/>
      <c r="J384" s="32"/>
      <c r="K384" s="33"/>
      <c r="L384" s="32"/>
      <c r="M384" s="30"/>
      <c r="N384" s="30"/>
      <c r="O384" s="31"/>
      <c r="P384" s="32"/>
      <c r="Q384" s="30"/>
      <c r="R384" s="31"/>
      <c r="S384" s="30"/>
      <c r="T384" s="30"/>
      <c r="U384" s="33"/>
      <c r="V384" s="32"/>
      <c r="W384" s="30"/>
      <c r="X384" s="30"/>
      <c r="Y384" s="30"/>
      <c r="Z384" s="30"/>
      <c r="AA384" s="31"/>
      <c r="AB384" s="32"/>
      <c r="AC384" s="30"/>
      <c r="AD384" s="31"/>
      <c r="AE384" s="30"/>
      <c r="AF384" s="30"/>
      <c r="AG384" s="33"/>
      <c r="AH384" s="32"/>
      <c r="AI384" s="30"/>
      <c r="AJ384" s="30"/>
    </row>
    <row x14ac:dyDescent="0.25" r="385" customHeight="1" ht="17.25">
      <c r="A385" s="33"/>
      <c r="B385" s="31"/>
      <c r="C385" s="31"/>
      <c r="D385" s="57"/>
      <c r="E385" s="31"/>
      <c r="F385" s="31"/>
      <c r="G385" s="31"/>
      <c r="H385" s="32"/>
      <c r="I385" s="33"/>
      <c r="J385" s="32"/>
      <c r="K385" s="33"/>
      <c r="L385" s="32"/>
      <c r="M385" s="30"/>
      <c r="N385" s="30"/>
      <c r="O385" s="31"/>
      <c r="P385" s="32"/>
      <c r="Q385" s="30"/>
      <c r="R385" s="31"/>
      <c r="S385" s="30"/>
      <c r="T385" s="30"/>
      <c r="U385" s="33"/>
      <c r="V385" s="32"/>
      <c r="W385" s="30"/>
      <c r="X385" s="30"/>
      <c r="Y385" s="30"/>
      <c r="Z385" s="30"/>
      <c r="AA385" s="31"/>
      <c r="AB385" s="32"/>
      <c r="AC385" s="30"/>
      <c r="AD385" s="31"/>
      <c r="AE385" s="30"/>
      <c r="AF385" s="30"/>
      <c r="AG385" s="33"/>
      <c r="AH385" s="32"/>
      <c r="AI385" s="30"/>
      <c r="AJ385" s="30"/>
    </row>
    <row x14ac:dyDescent="0.25" r="386" customHeight="1" ht="17.25">
      <c r="A386" s="33"/>
      <c r="B386" s="31"/>
      <c r="C386" s="31"/>
      <c r="D386" s="57"/>
      <c r="E386" s="31"/>
      <c r="F386" s="31"/>
      <c r="G386" s="31"/>
      <c r="H386" s="32"/>
      <c r="I386" s="33"/>
      <c r="J386" s="32"/>
      <c r="K386" s="33"/>
      <c r="L386" s="32"/>
      <c r="M386" s="30"/>
      <c r="N386" s="30"/>
      <c r="O386" s="31"/>
      <c r="P386" s="32"/>
      <c r="Q386" s="30"/>
      <c r="R386" s="31"/>
      <c r="S386" s="30"/>
      <c r="T386" s="30"/>
      <c r="U386" s="33"/>
      <c r="V386" s="32"/>
      <c r="W386" s="30"/>
      <c r="X386" s="30"/>
      <c r="Y386" s="30"/>
      <c r="Z386" s="30"/>
      <c r="AA386" s="31"/>
      <c r="AB386" s="32"/>
      <c r="AC386" s="30"/>
      <c r="AD386" s="31"/>
      <c r="AE386" s="30"/>
      <c r="AF386" s="30"/>
      <c r="AG386" s="33"/>
      <c r="AH386" s="32"/>
      <c r="AI386" s="30"/>
      <c r="AJ386" s="30"/>
    </row>
    <row x14ac:dyDescent="0.25" r="387" customHeight="1" ht="17.25">
      <c r="A387" s="33"/>
      <c r="B387" s="31"/>
      <c r="C387" s="31"/>
      <c r="D387" s="57"/>
      <c r="E387" s="31"/>
      <c r="F387" s="31"/>
      <c r="G387" s="31"/>
      <c r="H387" s="32"/>
      <c r="I387" s="33"/>
      <c r="J387" s="32"/>
      <c r="K387" s="33"/>
      <c r="L387" s="32"/>
      <c r="M387" s="30"/>
      <c r="N387" s="30"/>
      <c r="O387" s="31"/>
      <c r="P387" s="32"/>
      <c r="Q387" s="30"/>
      <c r="R387" s="31"/>
      <c r="S387" s="30"/>
      <c r="T387" s="30"/>
      <c r="U387" s="33"/>
      <c r="V387" s="32"/>
      <c r="W387" s="30"/>
      <c r="X387" s="30"/>
      <c r="Y387" s="30"/>
      <c r="Z387" s="30"/>
      <c r="AA387" s="31"/>
      <c r="AB387" s="32"/>
      <c r="AC387" s="30"/>
      <c r="AD387" s="31"/>
      <c r="AE387" s="30"/>
      <c r="AF387" s="30"/>
      <c r="AG387" s="33"/>
      <c r="AH387" s="32"/>
      <c r="AI387" s="30"/>
      <c r="AJ387" s="30"/>
    </row>
    <row x14ac:dyDescent="0.25" r="388" customHeight="1" ht="17.25">
      <c r="A388" s="33"/>
      <c r="B388" s="31"/>
      <c r="C388" s="31"/>
      <c r="D388" s="57"/>
      <c r="E388" s="31"/>
      <c r="F388" s="31"/>
      <c r="G388" s="31"/>
      <c r="H388" s="32"/>
      <c r="I388" s="33"/>
      <c r="J388" s="32"/>
      <c r="K388" s="33"/>
      <c r="L388" s="32"/>
      <c r="M388" s="30"/>
      <c r="N388" s="30"/>
      <c r="O388" s="31"/>
      <c r="P388" s="32"/>
      <c r="Q388" s="30"/>
      <c r="R388" s="31"/>
      <c r="S388" s="30"/>
      <c r="T388" s="30"/>
      <c r="U388" s="33"/>
      <c r="V388" s="32"/>
      <c r="W388" s="30"/>
      <c r="X388" s="30"/>
      <c r="Y388" s="30"/>
      <c r="Z388" s="30"/>
      <c r="AA388" s="31"/>
      <c r="AB388" s="32"/>
      <c r="AC388" s="30"/>
      <c r="AD388" s="31"/>
      <c r="AE388" s="30"/>
      <c r="AF388" s="30"/>
      <c r="AG388" s="33"/>
      <c r="AH388" s="32"/>
      <c r="AI388" s="30"/>
      <c r="AJ388" s="30"/>
    </row>
    <row x14ac:dyDescent="0.25" r="389" customHeight="1" ht="17.25">
      <c r="A389" s="33"/>
      <c r="B389" s="31"/>
      <c r="C389" s="31"/>
      <c r="D389" s="57"/>
      <c r="E389" s="31"/>
      <c r="F389" s="31"/>
      <c r="G389" s="31"/>
      <c r="H389" s="32"/>
      <c r="I389" s="33"/>
      <c r="J389" s="32"/>
      <c r="K389" s="33"/>
      <c r="L389" s="32"/>
      <c r="M389" s="30"/>
      <c r="N389" s="30"/>
      <c r="O389" s="31"/>
      <c r="P389" s="32"/>
      <c r="Q389" s="30"/>
      <c r="R389" s="31"/>
      <c r="S389" s="30"/>
      <c r="T389" s="30"/>
      <c r="U389" s="33"/>
      <c r="V389" s="32"/>
      <c r="W389" s="30"/>
      <c r="X389" s="30"/>
      <c r="Y389" s="30"/>
      <c r="Z389" s="30"/>
      <c r="AA389" s="31"/>
      <c r="AB389" s="32"/>
      <c r="AC389" s="30"/>
      <c r="AD389" s="31"/>
      <c r="AE389" s="30"/>
      <c r="AF389" s="30"/>
      <c r="AG389" s="33"/>
      <c r="AH389" s="32"/>
      <c r="AI389" s="30"/>
      <c r="AJ389" s="30"/>
    </row>
    <row x14ac:dyDescent="0.25" r="390" customHeight="1" ht="17.25">
      <c r="A390" s="33"/>
      <c r="B390" s="31"/>
      <c r="C390" s="31"/>
      <c r="D390" s="57"/>
      <c r="E390" s="31"/>
      <c r="F390" s="31"/>
      <c r="G390" s="31"/>
      <c r="H390" s="32"/>
      <c r="I390" s="33"/>
      <c r="J390" s="32"/>
      <c r="K390" s="33"/>
      <c r="L390" s="32"/>
      <c r="M390" s="30"/>
      <c r="N390" s="30"/>
      <c r="O390" s="31"/>
      <c r="P390" s="32"/>
      <c r="Q390" s="30"/>
      <c r="R390" s="31"/>
      <c r="S390" s="30"/>
      <c r="T390" s="30"/>
      <c r="U390" s="33"/>
      <c r="V390" s="32"/>
      <c r="W390" s="30"/>
      <c r="X390" s="30"/>
      <c r="Y390" s="30"/>
      <c r="Z390" s="30"/>
      <c r="AA390" s="31"/>
      <c r="AB390" s="32"/>
      <c r="AC390" s="30"/>
      <c r="AD390" s="31"/>
      <c r="AE390" s="30"/>
      <c r="AF390" s="30"/>
      <c r="AG390" s="33"/>
      <c r="AH390" s="32"/>
      <c r="AI390" s="30"/>
      <c r="AJ390" s="30"/>
    </row>
    <row x14ac:dyDescent="0.25" r="391" customHeight="1" ht="17.25">
      <c r="A391" s="33"/>
      <c r="B391" s="31"/>
      <c r="C391" s="31"/>
      <c r="D391" s="57"/>
      <c r="E391" s="31"/>
      <c r="F391" s="31"/>
      <c r="G391" s="31"/>
      <c r="H391" s="32"/>
      <c r="I391" s="33"/>
      <c r="J391" s="32"/>
      <c r="K391" s="33"/>
      <c r="L391" s="32"/>
      <c r="M391" s="30"/>
      <c r="N391" s="30"/>
      <c r="O391" s="31"/>
      <c r="P391" s="32"/>
      <c r="Q391" s="30"/>
      <c r="R391" s="31"/>
      <c r="S391" s="30"/>
      <c r="T391" s="30"/>
      <c r="U391" s="33"/>
      <c r="V391" s="32"/>
      <c r="W391" s="30"/>
      <c r="X391" s="30"/>
      <c r="Y391" s="30"/>
      <c r="Z391" s="30"/>
      <c r="AA391" s="31"/>
      <c r="AB391" s="32"/>
      <c r="AC391" s="30"/>
      <c r="AD391" s="31"/>
      <c r="AE391" s="30"/>
      <c r="AF391" s="30"/>
      <c r="AG391" s="33"/>
      <c r="AH391" s="32"/>
      <c r="AI391" s="30"/>
      <c r="AJ391" s="30"/>
    </row>
    <row x14ac:dyDescent="0.25" r="392" customHeight="1" ht="17.25">
      <c r="A392" s="33"/>
      <c r="B392" s="31"/>
      <c r="C392" s="31"/>
      <c r="D392" s="57"/>
      <c r="E392" s="31"/>
      <c r="F392" s="31"/>
      <c r="G392" s="31"/>
      <c r="H392" s="32"/>
      <c r="I392" s="33"/>
      <c r="J392" s="32"/>
      <c r="K392" s="33"/>
      <c r="L392" s="32"/>
      <c r="M392" s="30"/>
      <c r="N392" s="30"/>
      <c r="O392" s="31"/>
      <c r="P392" s="32"/>
      <c r="Q392" s="30"/>
      <c r="R392" s="31"/>
      <c r="S392" s="30"/>
      <c r="T392" s="30"/>
      <c r="U392" s="33"/>
      <c r="V392" s="32"/>
      <c r="W392" s="30"/>
      <c r="X392" s="30"/>
      <c r="Y392" s="30"/>
      <c r="Z392" s="30"/>
      <c r="AA392" s="31"/>
      <c r="AB392" s="32"/>
      <c r="AC392" s="30"/>
      <c r="AD392" s="31"/>
      <c r="AE392" s="30"/>
      <c r="AF392" s="30"/>
      <c r="AG392" s="33"/>
      <c r="AH392" s="32"/>
      <c r="AI392" s="30"/>
      <c r="AJ392" s="30"/>
    </row>
    <row x14ac:dyDescent="0.25" r="393" customHeight="1" ht="17.25">
      <c r="A393" s="33"/>
      <c r="B393" s="31"/>
      <c r="C393" s="31"/>
      <c r="D393" s="57"/>
      <c r="E393" s="31"/>
      <c r="F393" s="31"/>
      <c r="G393" s="31"/>
      <c r="H393" s="32"/>
      <c r="I393" s="33"/>
      <c r="J393" s="32"/>
      <c r="K393" s="33"/>
      <c r="L393" s="32"/>
      <c r="M393" s="30"/>
      <c r="N393" s="30"/>
      <c r="O393" s="31"/>
      <c r="P393" s="32"/>
      <c r="Q393" s="30"/>
      <c r="R393" s="31"/>
      <c r="S393" s="30"/>
      <c r="T393" s="30"/>
      <c r="U393" s="33"/>
      <c r="V393" s="32"/>
      <c r="W393" s="30"/>
      <c r="X393" s="30"/>
      <c r="Y393" s="30"/>
      <c r="Z393" s="30"/>
      <c r="AA393" s="31"/>
      <c r="AB393" s="32"/>
      <c r="AC393" s="30"/>
      <c r="AD393" s="31"/>
      <c r="AE393" s="30"/>
      <c r="AF393" s="30"/>
      <c r="AG393" s="33"/>
      <c r="AH393" s="32"/>
      <c r="AI393" s="30"/>
      <c r="AJ393" s="30"/>
    </row>
    <row x14ac:dyDescent="0.25" r="394" customHeight="1" ht="17.25">
      <c r="A394" s="33"/>
      <c r="B394" s="31"/>
      <c r="C394" s="31"/>
      <c r="D394" s="57"/>
      <c r="E394" s="31"/>
      <c r="F394" s="31"/>
      <c r="G394" s="31"/>
      <c r="H394" s="32"/>
      <c r="I394" s="33"/>
      <c r="J394" s="32"/>
      <c r="K394" s="33"/>
      <c r="L394" s="32"/>
      <c r="M394" s="30"/>
      <c r="N394" s="30"/>
      <c r="O394" s="31"/>
      <c r="P394" s="32"/>
      <c r="Q394" s="30"/>
      <c r="R394" s="31"/>
      <c r="S394" s="30"/>
      <c r="T394" s="30"/>
      <c r="U394" s="33"/>
      <c r="V394" s="32"/>
      <c r="W394" s="30"/>
      <c r="X394" s="30"/>
      <c r="Y394" s="30"/>
      <c r="Z394" s="30"/>
      <c r="AA394" s="31"/>
      <c r="AB394" s="32"/>
      <c r="AC394" s="30"/>
      <c r="AD394" s="31"/>
      <c r="AE394" s="30"/>
      <c r="AF394" s="30"/>
      <c r="AG394" s="33"/>
      <c r="AH394" s="32"/>
      <c r="AI394" s="30"/>
      <c r="AJ394" s="30"/>
    </row>
    <row x14ac:dyDescent="0.25" r="395" customHeight="1" ht="17.25">
      <c r="A395" s="33"/>
      <c r="B395" s="31"/>
      <c r="C395" s="31"/>
      <c r="D395" s="57"/>
      <c r="E395" s="31"/>
      <c r="F395" s="31"/>
      <c r="G395" s="31"/>
      <c r="H395" s="32"/>
      <c r="I395" s="33"/>
      <c r="J395" s="32"/>
      <c r="K395" s="33"/>
      <c r="L395" s="32"/>
      <c r="M395" s="30"/>
      <c r="N395" s="30"/>
      <c r="O395" s="31"/>
      <c r="P395" s="32"/>
      <c r="Q395" s="30"/>
      <c r="R395" s="31"/>
      <c r="S395" s="30"/>
      <c r="T395" s="30"/>
      <c r="U395" s="33"/>
      <c r="V395" s="32"/>
      <c r="W395" s="30"/>
      <c r="X395" s="30"/>
      <c r="Y395" s="30"/>
      <c r="Z395" s="30"/>
      <c r="AA395" s="31"/>
      <c r="AB395" s="32"/>
      <c r="AC395" s="30"/>
      <c r="AD395" s="31"/>
      <c r="AE395" s="30"/>
      <c r="AF395" s="30"/>
      <c r="AG395" s="33"/>
      <c r="AH395" s="32"/>
      <c r="AI395" s="30"/>
      <c r="AJ395" s="30"/>
    </row>
    <row x14ac:dyDescent="0.25" r="396" customHeight="1" ht="17.25">
      <c r="A396" s="33"/>
      <c r="B396" s="31"/>
      <c r="C396" s="31"/>
      <c r="D396" s="57"/>
      <c r="E396" s="31"/>
      <c r="F396" s="31"/>
      <c r="G396" s="31"/>
      <c r="H396" s="32"/>
      <c r="I396" s="33"/>
      <c r="J396" s="32"/>
      <c r="K396" s="33"/>
      <c r="L396" s="32"/>
      <c r="M396" s="30"/>
      <c r="N396" s="30"/>
      <c r="O396" s="31"/>
      <c r="P396" s="32"/>
      <c r="Q396" s="30"/>
      <c r="R396" s="31"/>
      <c r="S396" s="30"/>
      <c r="T396" s="30"/>
      <c r="U396" s="33"/>
      <c r="V396" s="32"/>
      <c r="W396" s="30"/>
      <c r="X396" s="30"/>
      <c r="Y396" s="30"/>
      <c r="Z396" s="30"/>
      <c r="AA396" s="31"/>
      <c r="AB396" s="32"/>
      <c r="AC396" s="30"/>
      <c r="AD396" s="31"/>
      <c r="AE396" s="30"/>
      <c r="AF396" s="30"/>
      <c r="AG396" s="33"/>
      <c r="AH396" s="32"/>
      <c r="AI396" s="30"/>
      <c r="AJ396" s="30"/>
    </row>
    <row x14ac:dyDescent="0.25" r="397" customHeight="1" ht="17.25">
      <c r="A397" s="33"/>
      <c r="B397" s="31"/>
      <c r="C397" s="31"/>
      <c r="D397" s="57"/>
      <c r="E397" s="31"/>
      <c r="F397" s="31"/>
      <c r="G397" s="31"/>
      <c r="H397" s="32"/>
      <c r="I397" s="33"/>
      <c r="J397" s="32"/>
      <c r="K397" s="33"/>
      <c r="L397" s="32"/>
      <c r="M397" s="30"/>
      <c r="N397" s="30"/>
      <c r="O397" s="31"/>
      <c r="P397" s="32"/>
      <c r="Q397" s="30"/>
      <c r="R397" s="31"/>
      <c r="S397" s="30"/>
      <c r="T397" s="30"/>
      <c r="U397" s="33"/>
      <c r="V397" s="32"/>
      <c r="W397" s="30"/>
      <c r="X397" s="30"/>
      <c r="Y397" s="30"/>
      <c r="Z397" s="30"/>
      <c r="AA397" s="31"/>
      <c r="AB397" s="32"/>
      <c r="AC397" s="30"/>
      <c r="AD397" s="31"/>
      <c r="AE397" s="30"/>
      <c r="AF397" s="30"/>
      <c r="AG397" s="33"/>
      <c r="AH397" s="32"/>
      <c r="AI397" s="30"/>
      <c r="AJ397" s="30"/>
    </row>
    <row x14ac:dyDescent="0.25" r="398" customHeight="1" ht="17.25">
      <c r="A398" s="33"/>
      <c r="B398" s="31"/>
      <c r="C398" s="31"/>
      <c r="D398" s="57"/>
      <c r="E398" s="31"/>
      <c r="F398" s="31"/>
      <c r="G398" s="31"/>
      <c r="H398" s="32"/>
      <c r="I398" s="33"/>
      <c r="J398" s="32"/>
      <c r="K398" s="33"/>
      <c r="L398" s="32"/>
      <c r="M398" s="30"/>
      <c r="N398" s="30"/>
      <c r="O398" s="31"/>
      <c r="P398" s="32"/>
      <c r="Q398" s="30"/>
      <c r="R398" s="31"/>
      <c r="S398" s="30"/>
      <c r="T398" s="30"/>
      <c r="U398" s="33"/>
      <c r="V398" s="32"/>
      <c r="W398" s="30"/>
      <c r="X398" s="30"/>
      <c r="Y398" s="30"/>
      <c r="Z398" s="30"/>
      <c r="AA398" s="31"/>
      <c r="AB398" s="32"/>
      <c r="AC398" s="30"/>
      <c r="AD398" s="31"/>
      <c r="AE398" s="30"/>
      <c r="AF398" s="30"/>
      <c r="AG398" s="33"/>
      <c r="AH398" s="32"/>
      <c r="AI398" s="30"/>
      <c r="AJ398" s="30"/>
    </row>
    <row x14ac:dyDescent="0.25" r="399" customHeight="1" ht="17.25">
      <c r="A399" s="33"/>
      <c r="B399" s="31"/>
      <c r="C399" s="31"/>
      <c r="D399" s="57"/>
      <c r="E399" s="31"/>
      <c r="F399" s="31"/>
      <c r="G399" s="31"/>
      <c r="H399" s="32"/>
      <c r="I399" s="33"/>
      <c r="J399" s="32"/>
      <c r="K399" s="33"/>
      <c r="L399" s="32"/>
      <c r="M399" s="30"/>
      <c r="N399" s="30"/>
      <c r="O399" s="31"/>
      <c r="P399" s="32"/>
      <c r="Q399" s="30"/>
      <c r="R399" s="31"/>
      <c r="S399" s="30"/>
      <c r="T399" s="30"/>
      <c r="U399" s="33"/>
      <c r="V399" s="32"/>
      <c r="W399" s="30"/>
      <c r="X399" s="30"/>
      <c r="Y399" s="30"/>
      <c r="Z399" s="30"/>
      <c r="AA399" s="31"/>
      <c r="AB399" s="32"/>
      <c r="AC399" s="30"/>
      <c r="AD399" s="31"/>
      <c r="AE399" s="30"/>
      <c r="AF399" s="30"/>
      <c r="AG399" s="33"/>
      <c r="AH399" s="32"/>
      <c r="AI399" s="30"/>
      <c r="AJ399" s="30"/>
    </row>
    <row x14ac:dyDescent="0.25" r="400" customHeight="1" ht="17.25">
      <c r="A400" s="33"/>
      <c r="B400" s="31"/>
      <c r="C400" s="31"/>
      <c r="D400" s="57"/>
      <c r="E400" s="31"/>
      <c r="F400" s="31"/>
      <c r="G400" s="31"/>
      <c r="H400" s="32"/>
      <c r="I400" s="33"/>
      <c r="J400" s="32"/>
      <c r="K400" s="33"/>
      <c r="L400" s="32"/>
      <c r="M400" s="30"/>
      <c r="N400" s="30"/>
      <c r="O400" s="31"/>
      <c r="P400" s="32"/>
      <c r="Q400" s="30"/>
      <c r="R400" s="31"/>
      <c r="S400" s="30"/>
      <c r="T400" s="30"/>
      <c r="U400" s="33"/>
      <c r="V400" s="32"/>
      <c r="W400" s="30"/>
      <c r="X400" s="30"/>
      <c r="Y400" s="30"/>
      <c r="Z400" s="30"/>
      <c r="AA400" s="31"/>
      <c r="AB400" s="32"/>
      <c r="AC400" s="30"/>
      <c r="AD400" s="31"/>
      <c r="AE400" s="30"/>
      <c r="AF400" s="30"/>
      <c r="AG400" s="33"/>
      <c r="AH400" s="32"/>
      <c r="AI400" s="30"/>
      <c r="AJ400" s="30"/>
    </row>
    <row x14ac:dyDescent="0.25" r="401" customHeight="1" ht="17.25">
      <c r="A401" s="33"/>
      <c r="B401" s="31"/>
      <c r="C401" s="31"/>
      <c r="D401" s="57"/>
      <c r="E401" s="31"/>
      <c r="F401" s="31"/>
      <c r="G401" s="31"/>
      <c r="H401" s="32"/>
      <c r="I401" s="33"/>
      <c r="J401" s="32"/>
      <c r="K401" s="33"/>
      <c r="L401" s="32"/>
      <c r="M401" s="30"/>
      <c r="N401" s="30"/>
      <c r="O401" s="31"/>
      <c r="P401" s="32"/>
      <c r="Q401" s="30"/>
      <c r="R401" s="31"/>
      <c r="S401" s="30"/>
      <c r="T401" s="30"/>
      <c r="U401" s="33"/>
      <c r="V401" s="32"/>
      <c r="W401" s="30"/>
      <c r="X401" s="30"/>
      <c r="Y401" s="30"/>
      <c r="Z401" s="30"/>
      <c r="AA401" s="31"/>
      <c r="AB401" s="32"/>
      <c r="AC401" s="30"/>
      <c r="AD401" s="31"/>
      <c r="AE401" s="30"/>
      <c r="AF401" s="30"/>
      <c r="AG401" s="33"/>
      <c r="AH401" s="32"/>
      <c r="AI401" s="30"/>
      <c r="AJ401" s="30"/>
    </row>
    <row x14ac:dyDescent="0.25" r="402" customHeight="1" ht="17.25">
      <c r="A402" s="33"/>
      <c r="B402" s="31"/>
      <c r="C402" s="31"/>
      <c r="D402" s="57"/>
      <c r="E402" s="31"/>
      <c r="F402" s="31"/>
      <c r="G402" s="31"/>
      <c r="H402" s="32"/>
      <c r="I402" s="33"/>
      <c r="J402" s="32"/>
      <c r="K402" s="33"/>
      <c r="L402" s="32"/>
      <c r="M402" s="30"/>
      <c r="N402" s="30"/>
      <c r="O402" s="31"/>
      <c r="P402" s="32"/>
      <c r="Q402" s="30"/>
      <c r="R402" s="31"/>
      <c r="S402" s="30"/>
      <c r="T402" s="30"/>
      <c r="U402" s="33"/>
      <c r="V402" s="32"/>
      <c r="W402" s="30"/>
      <c r="X402" s="30"/>
      <c r="Y402" s="30"/>
      <c r="Z402" s="30"/>
      <c r="AA402" s="31"/>
      <c r="AB402" s="32"/>
      <c r="AC402" s="30"/>
      <c r="AD402" s="31"/>
      <c r="AE402" s="30"/>
      <c r="AF402" s="30"/>
      <c r="AG402" s="33"/>
      <c r="AH402" s="32"/>
      <c r="AI402" s="30"/>
      <c r="AJ402" s="30"/>
    </row>
    <row x14ac:dyDescent="0.25" r="403" customHeight="1" ht="17.25">
      <c r="A403" s="33"/>
      <c r="B403" s="31"/>
      <c r="C403" s="31"/>
      <c r="D403" s="57"/>
      <c r="E403" s="31"/>
      <c r="F403" s="31"/>
      <c r="G403" s="31"/>
      <c r="H403" s="32"/>
      <c r="I403" s="33"/>
      <c r="J403" s="32"/>
      <c r="K403" s="33"/>
      <c r="L403" s="32"/>
      <c r="M403" s="30"/>
      <c r="N403" s="30"/>
      <c r="O403" s="31"/>
      <c r="P403" s="32"/>
      <c r="Q403" s="30"/>
      <c r="R403" s="31"/>
      <c r="S403" s="30"/>
      <c r="T403" s="30"/>
      <c r="U403" s="33"/>
      <c r="V403" s="32"/>
      <c r="W403" s="30"/>
      <c r="X403" s="30"/>
      <c r="Y403" s="30"/>
      <c r="Z403" s="30"/>
      <c r="AA403" s="31"/>
      <c r="AB403" s="32"/>
      <c r="AC403" s="30"/>
      <c r="AD403" s="31"/>
      <c r="AE403" s="30"/>
      <c r="AF403" s="30"/>
      <c r="AG403" s="33"/>
      <c r="AH403" s="32"/>
      <c r="AI403" s="30"/>
      <c r="AJ403" s="30"/>
    </row>
    <row x14ac:dyDescent="0.25" r="404" customHeight="1" ht="17.25">
      <c r="A404" s="33"/>
      <c r="B404" s="31"/>
      <c r="C404" s="31"/>
      <c r="D404" s="57"/>
      <c r="E404" s="31"/>
      <c r="F404" s="31"/>
      <c r="G404" s="31"/>
      <c r="H404" s="32"/>
      <c r="I404" s="33"/>
      <c r="J404" s="32"/>
      <c r="K404" s="33"/>
      <c r="L404" s="32"/>
      <c r="M404" s="30"/>
      <c r="N404" s="30"/>
      <c r="O404" s="31"/>
      <c r="P404" s="32"/>
      <c r="Q404" s="30"/>
      <c r="R404" s="31"/>
      <c r="S404" s="30"/>
      <c r="T404" s="30"/>
      <c r="U404" s="33"/>
      <c r="V404" s="32"/>
      <c r="W404" s="30"/>
      <c r="X404" s="30"/>
      <c r="Y404" s="30"/>
      <c r="Z404" s="30"/>
      <c r="AA404" s="31"/>
      <c r="AB404" s="32"/>
      <c r="AC404" s="30"/>
      <c r="AD404" s="31"/>
      <c r="AE404" s="30"/>
      <c r="AF404" s="30"/>
      <c r="AG404" s="33"/>
      <c r="AH404" s="32"/>
      <c r="AI404" s="30"/>
      <c r="AJ404" s="30"/>
    </row>
    <row x14ac:dyDescent="0.25" r="405" customHeight="1" ht="17.25">
      <c r="A405" s="33"/>
      <c r="B405" s="31"/>
      <c r="C405" s="31"/>
      <c r="D405" s="57"/>
      <c r="E405" s="31"/>
      <c r="F405" s="31"/>
      <c r="G405" s="31"/>
      <c r="H405" s="32"/>
      <c r="I405" s="33"/>
      <c r="J405" s="32"/>
      <c r="K405" s="33"/>
      <c r="L405" s="32"/>
      <c r="M405" s="30"/>
      <c r="N405" s="30"/>
      <c r="O405" s="31"/>
      <c r="P405" s="32"/>
      <c r="Q405" s="30"/>
      <c r="R405" s="31"/>
      <c r="S405" s="30"/>
      <c r="T405" s="30"/>
      <c r="U405" s="33"/>
      <c r="V405" s="32"/>
      <c r="W405" s="30"/>
      <c r="X405" s="30"/>
      <c r="Y405" s="30"/>
      <c r="Z405" s="30"/>
      <c r="AA405" s="31"/>
      <c r="AB405" s="32"/>
      <c r="AC405" s="30"/>
      <c r="AD405" s="31"/>
      <c r="AE405" s="30"/>
      <c r="AF405" s="30"/>
      <c r="AG405" s="33"/>
      <c r="AH405" s="32"/>
      <c r="AI405" s="30"/>
      <c r="AJ405" s="30"/>
    </row>
    <row x14ac:dyDescent="0.25" r="406" customHeight="1" ht="17.25">
      <c r="A406" s="33"/>
      <c r="B406" s="31"/>
      <c r="C406" s="31"/>
      <c r="D406" s="57"/>
      <c r="E406" s="31"/>
      <c r="F406" s="31"/>
      <c r="G406" s="31"/>
      <c r="H406" s="32"/>
      <c r="I406" s="33"/>
      <c r="J406" s="32"/>
      <c r="K406" s="33"/>
      <c r="L406" s="32"/>
      <c r="M406" s="30"/>
      <c r="N406" s="30"/>
      <c r="O406" s="31"/>
      <c r="P406" s="32"/>
      <c r="Q406" s="30"/>
      <c r="R406" s="31"/>
      <c r="S406" s="30"/>
      <c r="T406" s="30"/>
      <c r="U406" s="33"/>
      <c r="V406" s="32"/>
      <c r="W406" s="30"/>
      <c r="X406" s="30"/>
      <c r="Y406" s="30"/>
      <c r="Z406" s="30"/>
      <c r="AA406" s="31"/>
      <c r="AB406" s="32"/>
      <c r="AC406" s="30"/>
      <c r="AD406" s="31"/>
      <c r="AE406" s="30"/>
      <c r="AF406" s="30"/>
      <c r="AG406" s="33"/>
      <c r="AH406" s="32"/>
      <c r="AI406" s="30"/>
      <c r="AJ406" s="30"/>
    </row>
    <row x14ac:dyDescent="0.25" r="407" customHeight="1" ht="17.25">
      <c r="A407" s="33"/>
      <c r="B407" s="31"/>
      <c r="C407" s="31"/>
      <c r="D407" s="57"/>
      <c r="E407" s="31"/>
      <c r="F407" s="31"/>
      <c r="G407" s="31"/>
      <c r="H407" s="32"/>
      <c r="I407" s="33"/>
      <c r="J407" s="32"/>
      <c r="K407" s="33"/>
      <c r="L407" s="32"/>
      <c r="M407" s="30"/>
      <c r="N407" s="30"/>
      <c r="O407" s="31"/>
      <c r="P407" s="32"/>
      <c r="Q407" s="30"/>
      <c r="R407" s="31"/>
      <c r="S407" s="30"/>
      <c r="T407" s="30"/>
      <c r="U407" s="33"/>
      <c r="V407" s="32"/>
      <c r="W407" s="30"/>
      <c r="X407" s="30"/>
      <c r="Y407" s="30"/>
      <c r="Z407" s="30"/>
      <c r="AA407" s="31"/>
      <c r="AB407" s="32"/>
      <c r="AC407" s="30"/>
      <c r="AD407" s="31"/>
      <c r="AE407" s="30"/>
      <c r="AF407" s="30"/>
      <c r="AG407" s="33"/>
      <c r="AH407" s="32"/>
      <c r="AI407" s="30"/>
      <c r="AJ407" s="30"/>
    </row>
    <row x14ac:dyDescent="0.25" r="408" customHeight="1" ht="17.25">
      <c r="A408" s="33"/>
      <c r="B408" s="31"/>
      <c r="C408" s="31"/>
      <c r="D408" s="57"/>
      <c r="E408" s="31"/>
      <c r="F408" s="31"/>
      <c r="G408" s="31"/>
      <c r="H408" s="32"/>
      <c r="I408" s="33"/>
      <c r="J408" s="32"/>
      <c r="K408" s="33"/>
      <c r="L408" s="32"/>
      <c r="M408" s="30"/>
      <c r="N408" s="30"/>
      <c r="O408" s="31"/>
      <c r="P408" s="32"/>
      <c r="Q408" s="30"/>
      <c r="R408" s="31"/>
      <c r="S408" s="30"/>
      <c r="T408" s="30"/>
      <c r="U408" s="33"/>
      <c r="V408" s="32"/>
      <c r="W408" s="30"/>
      <c r="X408" s="30"/>
      <c r="Y408" s="30"/>
      <c r="Z408" s="30"/>
      <c r="AA408" s="31"/>
      <c r="AB408" s="32"/>
      <c r="AC408" s="30"/>
      <c r="AD408" s="31"/>
      <c r="AE408" s="30"/>
      <c r="AF408" s="30"/>
      <c r="AG408" s="33"/>
      <c r="AH408" s="32"/>
      <c r="AI408" s="30"/>
      <c r="AJ408" s="30"/>
    </row>
    <row x14ac:dyDescent="0.25" r="409" customHeight="1" ht="17.25">
      <c r="A409" s="33"/>
      <c r="B409" s="31"/>
      <c r="C409" s="31"/>
      <c r="D409" s="57"/>
      <c r="E409" s="31"/>
      <c r="F409" s="31"/>
      <c r="G409" s="31"/>
      <c r="H409" s="32"/>
      <c r="I409" s="33"/>
      <c r="J409" s="32"/>
      <c r="K409" s="33"/>
      <c r="L409" s="32"/>
      <c r="M409" s="30"/>
      <c r="N409" s="30"/>
      <c r="O409" s="31"/>
      <c r="P409" s="32"/>
      <c r="Q409" s="30"/>
      <c r="R409" s="31"/>
      <c r="S409" s="30"/>
      <c r="T409" s="30"/>
      <c r="U409" s="33"/>
      <c r="V409" s="32"/>
      <c r="W409" s="30"/>
      <c r="X409" s="30"/>
      <c r="Y409" s="30"/>
      <c r="Z409" s="30"/>
      <c r="AA409" s="31"/>
      <c r="AB409" s="32"/>
      <c r="AC409" s="30"/>
      <c r="AD409" s="31"/>
      <c r="AE409" s="30"/>
      <c r="AF409" s="30"/>
      <c r="AG409" s="33"/>
      <c r="AH409" s="32"/>
      <c r="AI409" s="30"/>
      <c r="AJ409" s="30"/>
    </row>
    <row x14ac:dyDescent="0.25" r="410" customHeight="1" ht="17.25">
      <c r="A410" s="33"/>
      <c r="B410" s="31"/>
      <c r="C410" s="31"/>
      <c r="D410" s="57"/>
      <c r="E410" s="31"/>
      <c r="F410" s="31"/>
      <c r="G410" s="31"/>
      <c r="H410" s="32"/>
      <c r="I410" s="33"/>
      <c r="J410" s="32"/>
      <c r="K410" s="33"/>
      <c r="L410" s="32"/>
      <c r="M410" s="30"/>
      <c r="N410" s="30"/>
      <c r="O410" s="31"/>
      <c r="P410" s="32"/>
      <c r="Q410" s="30"/>
      <c r="R410" s="31"/>
      <c r="S410" s="30"/>
      <c r="T410" s="30"/>
      <c r="U410" s="33"/>
      <c r="V410" s="32"/>
      <c r="W410" s="30"/>
      <c r="X410" s="30"/>
      <c r="Y410" s="30"/>
      <c r="Z410" s="30"/>
      <c r="AA410" s="31"/>
      <c r="AB410" s="32"/>
      <c r="AC410" s="30"/>
      <c r="AD410" s="31"/>
      <c r="AE410" s="30"/>
      <c r="AF410" s="30"/>
      <c r="AG410" s="33"/>
      <c r="AH410" s="32"/>
      <c r="AI410" s="30"/>
      <c r="AJ410" s="30"/>
    </row>
    <row x14ac:dyDescent="0.25" r="411" customHeight="1" ht="17.25">
      <c r="A411" s="33"/>
      <c r="B411" s="31"/>
      <c r="C411" s="31"/>
      <c r="D411" s="57"/>
      <c r="E411" s="31"/>
      <c r="F411" s="31"/>
      <c r="G411" s="31"/>
      <c r="H411" s="32"/>
      <c r="I411" s="33"/>
      <c r="J411" s="32"/>
      <c r="K411" s="33"/>
      <c r="L411" s="32"/>
      <c r="M411" s="30"/>
      <c r="N411" s="30"/>
      <c r="O411" s="31"/>
      <c r="P411" s="32"/>
      <c r="Q411" s="30"/>
      <c r="R411" s="31"/>
      <c r="S411" s="30"/>
      <c r="T411" s="30"/>
      <c r="U411" s="33"/>
      <c r="V411" s="32"/>
      <c r="W411" s="30"/>
      <c r="X411" s="30"/>
      <c r="Y411" s="30"/>
      <c r="Z411" s="30"/>
      <c r="AA411" s="31"/>
      <c r="AB411" s="32"/>
      <c r="AC411" s="30"/>
      <c r="AD411" s="31"/>
      <c r="AE411" s="30"/>
      <c r="AF411" s="30"/>
      <c r="AG411" s="33"/>
      <c r="AH411" s="32"/>
      <c r="AI411" s="30"/>
      <c r="AJ411" s="30"/>
    </row>
    <row x14ac:dyDescent="0.25" r="412" customHeight="1" ht="17.25">
      <c r="A412" s="33"/>
      <c r="B412" s="31"/>
      <c r="C412" s="31"/>
      <c r="D412" s="57"/>
      <c r="E412" s="31"/>
      <c r="F412" s="31"/>
      <c r="G412" s="31"/>
      <c r="H412" s="32"/>
      <c r="I412" s="33"/>
      <c r="J412" s="32"/>
      <c r="K412" s="33"/>
      <c r="L412" s="32"/>
      <c r="M412" s="30"/>
      <c r="N412" s="30"/>
      <c r="O412" s="31"/>
      <c r="P412" s="32"/>
      <c r="Q412" s="30"/>
      <c r="R412" s="31"/>
      <c r="S412" s="30"/>
      <c r="T412" s="30"/>
      <c r="U412" s="33"/>
      <c r="V412" s="32"/>
      <c r="W412" s="30"/>
      <c r="X412" s="30"/>
      <c r="Y412" s="30"/>
      <c r="Z412" s="30"/>
      <c r="AA412" s="31"/>
      <c r="AB412" s="32"/>
      <c r="AC412" s="30"/>
      <c r="AD412" s="31"/>
      <c r="AE412" s="30"/>
      <c r="AF412" s="30"/>
      <c r="AG412" s="33"/>
      <c r="AH412" s="32"/>
      <c r="AI412" s="30"/>
      <c r="AJ412" s="30"/>
    </row>
    <row x14ac:dyDescent="0.25" r="413" customHeight="1" ht="17.25">
      <c r="A413" s="33"/>
      <c r="B413" s="31"/>
      <c r="C413" s="31"/>
      <c r="D413" s="57"/>
      <c r="E413" s="31"/>
      <c r="F413" s="31"/>
      <c r="G413" s="31"/>
      <c r="H413" s="32"/>
      <c r="I413" s="33"/>
      <c r="J413" s="32"/>
      <c r="K413" s="33"/>
      <c r="L413" s="32"/>
      <c r="M413" s="30"/>
      <c r="N413" s="30"/>
      <c r="O413" s="31"/>
      <c r="P413" s="32"/>
      <c r="Q413" s="30"/>
      <c r="R413" s="31"/>
      <c r="S413" s="30"/>
      <c r="T413" s="30"/>
      <c r="U413" s="33"/>
      <c r="V413" s="32"/>
      <c r="W413" s="30"/>
      <c r="X413" s="30"/>
      <c r="Y413" s="30"/>
      <c r="Z413" s="30"/>
      <c r="AA413" s="31"/>
      <c r="AB413" s="32"/>
      <c r="AC413" s="30"/>
      <c r="AD413" s="31"/>
      <c r="AE413" s="30"/>
      <c r="AF413" s="30"/>
      <c r="AG413" s="33"/>
      <c r="AH413" s="32"/>
      <c r="AI413" s="30"/>
      <c r="AJ413" s="30"/>
    </row>
    <row x14ac:dyDescent="0.25" r="414" customHeight="1" ht="17.25">
      <c r="A414" s="33"/>
      <c r="B414" s="31"/>
      <c r="C414" s="31"/>
      <c r="D414" s="57"/>
      <c r="E414" s="31"/>
      <c r="F414" s="31"/>
      <c r="G414" s="31"/>
      <c r="H414" s="32"/>
      <c r="I414" s="33"/>
      <c r="J414" s="32"/>
      <c r="K414" s="33"/>
      <c r="L414" s="32"/>
      <c r="M414" s="30"/>
      <c r="N414" s="30"/>
      <c r="O414" s="31"/>
      <c r="P414" s="32"/>
      <c r="Q414" s="30"/>
      <c r="R414" s="31"/>
      <c r="S414" s="30"/>
      <c r="T414" s="30"/>
      <c r="U414" s="33"/>
      <c r="V414" s="32"/>
      <c r="W414" s="30"/>
      <c r="X414" s="30"/>
      <c r="Y414" s="30"/>
      <c r="Z414" s="30"/>
      <c r="AA414" s="31"/>
      <c r="AB414" s="32"/>
      <c r="AC414" s="30"/>
      <c r="AD414" s="31"/>
      <c r="AE414" s="30"/>
      <c r="AF414" s="30"/>
      <c r="AG414" s="33"/>
      <c r="AH414" s="32"/>
      <c r="AI414" s="30"/>
      <c r="AJ414" s="30"/>
    </row>
    <row x14ac:dyDescent="0.25" r="415" customHeight="1" ht="17.25">
      <c r="A415" s="33"/>
      <c r="B415" s="31"/>
      <c r="C415" s="31"/>
      <c r="D415" s="57"/>
      <c r="E415" s="31"/>
      <c r="F415" s="31"/>
      <c r="G415" s="31"/>
      <c r="H415" s="32"/>
      <c r="I415" s="33"/>
      <c r="J415" s="32"/>
      <c r="K415" s="33"/>
      <c r="L415" s="32"/>
      <c r="M415" s="30"/>
      <c r="N415" s="30"/>
      <c r="O415" s="31"/>
      <c r="P415" s="32"/>
      <c r="Q415" s="30"/>
      <c r="R415" s="31"/>
      <c r="S415" s="30"/>
      <c r="T415" s="30"/>
      <c r="U415" s="33"/>
      <c r="V415" s="32"/>
      <c r="W415" s="30"/>
      <c r="X415" s="30"/>
      <c r="Y415" s="30"/>
      <c r="Z415" s="30"/>
      <c r="AA415" s="31"/>
      <c r="AB415" s="32"/>
      <c r="AC415" s="30"/>
      <c r="AD415" s="31"/>
      <c r="AE415" s="30"/>
      <c r="AF415" s="30"/>
      <c r="AG415" s="33"/>
      <c r="AH415" s="32"/>
      <c r="AI415" s="30"/>
      <c r="AJ415" s="30"/>
    </row>
    <row x14ac:dyDescent="0.25" r="416" customHeight="1" ht="17.25">
      <c r="A416" s="33"/>
      <c r="B416" s="31"/>
      <c r="C416" s="31"/>
      <c r="D416" s="57"/>
      <c r="E416" s="31"/>
      <c r="F416" s="31"/>
      <c r="G416" s="31"/>
      <c r="H416" s="32"/>
      <c r="I416" s="33"/>
      <c r="J416" s="32"/>
      <c r="K416" s="33"/>
      <c r="L416" s="32"/>
      <c r="M416" s="30"/>
      <c r="N416" s="30"/>
      <c r="O416" s="31"/>
      <c r="P416" s="32"/>
      <c r="Q416" s="30"/>
      <c r="R416" s="31"/>
      <c r="S416" s="30"/>
      <c r="T416" s="30"/>
      <c r="U416" s="33"/>
      <c r="V416" s="32"/>
      <c r="W416" s="30"/>
      <c r="X416" s="30"/>
      <c r="Y416" s="30"/>
      <c r="Z416" s="30"/>
      <c r="AA416" s="31"/>
      <c r="AB416" s="32"/>
      <c r="AC416" s="30"/>
      <c r="AD416" s="31"/>
      <c r="AE416" s="30"/>
      <c r="AF416" s="30"/>
      <c r="AG416" s="33"/>
      <c r="AH416" s="32"/>
      <c r="AI416" s="30"/>
      <c r="AJ416" s="30"/>
    </row>
    <row x14ac:dyDescent="0.25" r="417" customHeight="1" ht="17.25">
      <c r="A417" s="33"/>
      <c r="B417" s="31"/>
      <c r="C417" s="31"/>
      <c r="D417" s="57"/>
      <c r="E417" s="31"/>
      <c r="F417" s="31"/>
      <c r="G417" s="31"/>
      <c r="H417" s="32"/>
      <c r="I417" s="33"/>
      <c r="J417" s="32"/>
      <c r="K417" s="33"/>
      <c r="L417" s="32"/>
      <c r="M417" s="30"/>
      <c r="N417" s="30"/>
      <c r="O417" s="31"/>
      <c r="P417" s="32"/>
      <c r="Q417" s="30"/>
      <c r="R417" s="31"/>
      <c r="S417" s="30"/>
      <c r="T417" s="30"/>
      <c r="U417" s="33"/>
      <c r="V417" s="32"/>
      <c r="W417" s="30"/>
      <c r="X417" s="30"/>
      <c r="Y417" s="30"/>
      <c r="Z417" s="30"/>
      <c r="AA417" s="31"/>
      <c r="AB417" s="32"/>
      <c r="AC417" s="30"/>
      <c r="AD417" s="31"/>
      <c r="AE417" s="30"/>
      <c r="AF417" s="30"/>
      <c r="AG417" s="33"/>
      <c r="AH417" s="32"/>
      <c r="AI417" s="30"/>
      <c r="AJ417" s="30"/>
    </row>
    <row x14ac:dyDescent="0.25" r="418" customHeight="1" ht="17.25">
      <c r="A418" s="33"/>
      <c r="B418" s="31"/>
      <c r="C418" s="31"/>
      <c r="D418" s="57"/>
      <c r="E418" s="31"/>
      <c r="F418" s="31"/>
      <c r="G418" s="31"/>
      <c r="H418" s="32"/>
      <c r="I418" s="33"/>
      <c r="J418" s="32"/>
      <c r="K418" s="33"/>
      <c r="L418" s="32"/>
      <c r="M418" s="30"/>
      <c r="N418" s="30"/>
      <c r="O418" s="31"/>
      <c r="P418" s="32"/>
      <c r="Q418" s="30"/>
      <c r="R418" s="31"/>
      <c r="S418" s="30"/>
      <c r="T418" s="30"/>
      <c r="U418" s="33"/>
      <c r="V418" s="32"/>
      <c r="W418" s="30"/>
      <c r="X418" s="30"/>
      <c r="Y418" s="30"/>
      <c r="Z418" s="30"/>
      <c r="AA418" s="31"/>
      <c r="AB418" s="32"/>
      <c r="AC418" s="30"/>
      <c r="AD418" s="31"/>
      <c r="AE418" s="30"/>
      <c r="AF418" s="30"/>
      <c r="AG418" s="33"/>
      <c r="AH418" s="32"/>
      <c r="AI418" s="30"/>
      <c r="AJ418" s="30"/>
    </row>
    <row x14ac:dyDescent="0.25" r="419" customHeight="1" ht="17.25">
      <c r="A419" s="33"/>
      <c r="B419" s="31"/>
      <c r="C419" s="31"/>
      <c r="D419" s="57"/>
      <c r="E419" s="31"/>
      <c r="F419" s="31"/>
      <c r="G419" s="31"/>
      <c r="H419" s="32"/>
      <c r="I419" s="33"/>
      <c r="J419" s="32"/>
      <c r="K419" s="33"/>
      <c r="L419" s="32"/>
      <c r="M419" s="30"/>
      <c r="N419" s="30"/>
      <c r="O419" s="31"/>
      <c r="P419" s="32"/>
      <c r="Q419" s="30"/>
      <c r="R419" s="31"/>
      <c r="S419" s="30"/>
      <c r="T419" s="30"/>
      <c r="U419" s="33"/>
      <c r="V419" s="32"/>
      <c r="W419" s="30"/>
      <c r="X419" s="30"/>
      <c r="Y419" s="30"/>
      <c r="Z419" s="30"/>
      <c r="AA419" s="31"/>
      <c r="AB419" s="32"/>
      <c r="AC419" s="30"/>
      <c r="AD419" s="31"/>
      <c r="AE419" s="30"/>
      <c r="AF419" s="30"/>
      <c r="AG419" s="33"/>
      <c r="AH419" s="32"/>
      <c r="AI419" s="30"/>
      <c r="AJ419" s="30"/>
    </row>
    <row x14ac:dyDescent="0.25" r="420" customHeight="1" ht="17.25">
      <c r="A420" s="33"/>
      <c r="B420" s="31"/>
      <c r="C420" s="31"/>
      <c r="D420" s="57"/>
      <c r="E420" s="31"/>
      <c r="F420" s="31"/>
      <c r="G420" s="31"/>
      <c r="H420" s="32"/>
      <c r="I420" s="33"/>
      <c r="J420" s="32"/>
      <c r="K420" s="33"/>
      <c r="L420" s="32"/>
      <c r="M420" s="30"/>
      <c r="N420" s="30"/>
      <c r="O420" s="31"/>
      <c r="P420" s="32"/>
      <c r="Q420" s="30"/>
      <c r="R420" s="31"/>
      <c r="S420" s="30"/>
      <c r="T420" s="30"/>
      <c r="U420" s="33"/>
      <c r="V420" s="32"/>
      <c r="W420" s="30"/>
      <c r="X420" s="30"/>
      <c r="Y420" s="30"/>
      <c r="Z420" s="30"/>
      <c r="AA420" s="31"/>
      <c r="AB420" s="32"/>
      <c r="AC420" s="30"/>
      <c r="AD420" s="31"/>
      <c r="AE420" s="30"/>
      <c r="AF420" s="30"/>
      <c r="AG420" s="33"/>
      <c r="AH420" s="32"/>
      <c r="AI420" s="30"/>
      <c r="AJ420" s="30"/>
    </row>
    <row x14ac:dyDescent="0.25" r="421" customHeight="1" ht="17.25">
      <c r="A421" s="33"/>
      <c r="B421" s="31"/>
      <c r="C421" s="31"/>
      <c r="D421" s="57"/>
      <c r="E421" s="31"/>
      <c r="F421" s="31"/>
      <c r="G421" s="31"/>
      <c r="H421" s="32"/>
      <c r="I421" s="33"/>
      <c r="J421" s="32"/>
      <c r="K421" s="33"/>
      <c r="L421" s="32"/>
      <c r="M421" s="30"/>
      <c r="N421" s="30"/>
      <c r="O421" s="31"/>
      <c r="P421" s="32"/>
      <c r="Q421" s="30"/>
      <c r="R421" s="31"/>
      <c r="S421" s="30"/>
      <c r="T421" s="30"/>
      <c r="U421" s="33"/>
      <c r="V421" s="32"/>
      <c r="W421" s="30"/>
      <c r="X421" s="30"/>
      <c r="Y421" s="30"/>
      <c r="Z421" s="30"/>
      <c r="AA421" s="31"/>
      <c r="AB421" s="32"/>
      <c r="AC421" s="30"/>
      <c r="AD421" s="31"/>
      <c r="AE421" s="30"/>
      <c r="AF421" s="30"/>
      <c r="AG421" s="33"/>
      <c r="AH421" s="32"/>
      <c r="AI421" s="30"/>
      <c r="AJ421" s="30"/>
    </row>
    <row x14ac:dyDescent="0.25" r="422" customHeight="1" ht="17.25">
      <c r="A422" s="33"/>
      <c r="B422" s="31"/>
      <c r="C422" s="31"/>
      <c r="D422" s="57"/>
      <c r="E422" s="31"/>
      <c r="F422" s="31"/>
      <c r="G422" s="31"/>
      <c r="H422" s="32"/>
      <c r="I422" s="33"/>
      <c r="J422" s="32"/>
      <c r="K422" s="33"/>
      <c r="L422" s="32"/>
      <c r="M422" s="30"/>
      <c r="N422" s="30"/>
      <c r="O422" s="31"/>
      <c r="P422" s="32"/>
      <c r="Q422" s="30"/>
      <c r="R422" s="31"/>
      <c r="S422" s="30"/>
      <c r="T422" s="30"/>
      <c r="U422" s="33"/>
      <c r="V422" s="32"/>
      <c r="W422" s="30"/>
      <c r="X422" s="30"/>
      <c r="Y422" s="30"/>
      <c r="Z422" s="30"/>
      <c r="AA422" s="31"/>
      <c r="AB422" s="32"/>
      <c r="AC422" s="30"/>
      <c r="AD422" s="31"/>
      <c r="AE422" s="30"/>
      <c r="AF422" s="30"/>
      <c r="AG422" s="33"/>
      <c r="AH422" s="32"/>
      <c r="AI422" s="30"/>
      <c r="AJ422" s="30"/>
    </row>
    <row x14ac:dyDescent="0.25" r="423" customHeight="1" ht="17.25">
      <c r="A423" s="33"/>
      <c r="B423" s="31"/>
      <c r="C423" s="31"/>
      <c r="D423" s="57"/>
      <c r="E423" s="31"/>
      <c r="F423" s="31"/>
      <c r="G423" s="31"/>
      <c r="H423" s="32"/>
      <c r="I423" s="33"/>
      <c r="J423" s="32"/>
      <c r="K423" s="33"/>
      <c r="L423" s="32"/>
      <c r="M423" s="30"/>
      <c r="N423" s="30"/>
      <c r="O423" s="31"/>
      <c r="P423" s="32"/>
      <c r="Q423" s="30"/>
      <c r="R423" s="31"/>
      <c r="S423" s="30"/>
      <c r="T423" s="30"/>
      <c r="U423" s="33"/>
      <c r="V423" s="32"/>
      <c r="W423" s="30"/>
      <c r="X423" s="30"/>
      <c r="Y423" s="30"/>
      <c r="Z423" s="30"/>
      <c r="AA423" s="31"/>
      <c r="AB423" s="32"/>
      <c r="AC423" s="30"/>
      <c r="AD423" s="31"/>
      <c r="AE423" s="30"/>
      <c r="AF423" s="30"/>
      <c r="AG423" s="33"/>
      <c r="AH423" s="32"/>
      <c r="AI423" s="30"/>
      <c r="AJ423" s="30"/>
    </row>
    <row x14ac:dyDescent="0.25" r="424" customHeight="1" ht="17.25">
      <c r="A424" s="33"/>
      <c r="B424" s="31"/>
      <c r="C424" s="31"/>
      <c r="D424" s="57"/>
      <c r="E424" s="31"/>
      <c r="F424" s="31"/>
      <c r="G424" s="31"/>
      <c r="H424" s="32"/>
      <c r="I424" s="33"/>
      <c r="J424" s="32"/>
      <c r="K424" s="33"/>
      <c r="L424" s="32"/>
      <c r="M424" s="30"/>
      <c r="N424" s="30"/>
      <c r="O424" s="31"/>
      <c r="P424" s="32"/>
      <c r="Q424" s="30"/>
      <c r="R424" s="31"/>
      <c r="S424" s="30"/>
      <c r="T424" s="30"/>
      <c r="U424" s="33"/>
      <c r="V424" s="32"/>
      <c r="W424" s="30"/>
      <c r="X424" s="30"/>
      <c r="Y424" s="30"/>
      <c r="Z424" s="30"/>
      <c r="AA424" s="31"/>
      <c r="AB424" s="32"/>
      <c r="AC424" s="30"/>
      <c r="AD424" s="31"/>
      <c r="AE424" s="30"/>
      <c r="AF424" s="30"/>
      <c r="AG424" s="33"/>
      <c r="AH424" s="32"/>
      <c r="AI424" s="30"/>
      <c r="AJ424" s="30"/>
    </row>
    <row x14ac:dyDescent="0.25" r="425" customHeight="1" ht="17.25">
      <c r="A425" s="33"/>
      <c r="B425" s="31"/>
      <c r="C425" s="31"/>
      <c r="D425" s="57"/>
      <c r="E425" s="31"/>
      <c r="F425" s="31"/>
      <c r="G425" s="31"/>
      <c r="H425" s="32"/>
      <c r="I425" s="33"/>
      <c r="J425" s="32"/>
      <c r="K425" s="33"/>
      <c r="L425" s="32"/>
      <c r="M425" s="30"/>
      <c r="N425" s="30"/>
      <c r="O425" s="31"/>
      <c r="P425" s="32"/>
      <c r="Q425" s="30"/>
      <c r="R425" s="31"/>
      <c r="S425" s="30"/>
      <c r="T425" s="30"/>
      <c r="U425" s="33"/>
      <c r="V425" s="32"/>
      <c r="W425" s="30"/>
      <c r="X425" s="30"/>
      <c r="Y425" s="30"/>
      <c r="Z425" s="30"/>
      <c r="AA425" s="31"/>
      <c r="AB425" s="32"/>
      <c r="AC425" s="30"/>
      <c r="AD425" s="31"/>
      <c r="AE425" s="30"/>
      <c r="AF425" s="30"/>
      <c r="AG425" s="33"/>
      <c r="AH425" s="32"/>
      <c r="AI425" s="30"/>
      <c r="AJ425" s="30"/>
    </row>
    <row x14ac:dyDescent="0.25" r="426" customHeight="1" ht="17.25">
      <c r="A426" s="33"/>
      <c r="B426" s="31"/>
      <c r="C426" s="31"/>
      <c r="D426" s="57"/>
      <c r="E426" s="31"/>
      <c r="F426" s="31"/>
      <c r="G426" s="31"/>
      <c r="H426" s="32"/>
      <c r="I426" s="33"/>
      <c r="J426" s="32"/>
      <c r="K426" s="33"/>
      <c r="L426" s="32"/>
      <c r="M426" s="30"/>
      <c r="N426" s="30"/>
      <c r="O426" s="31"/>
      <c r="P426" s="32"/>
      <c r="Q426" s="30"/>
      <c r="R426" s="31"/>
      <c r="S426" s="30"/>
      <c r="T426" s="30"/>
      <c r="U426" s="33"/>
      <c r="V426" s="32"/>
      <c r="W426" s="30"/>
      <c r="X426" s="30"/>
      <c r="Y426" s="30"/>
      <c r="Z426" s="30"/>
      <c r="AA426" s="31"/>
      <c r="AB426" s="32"/>
      <c r="AC426" s="30"/>
      <c r="AD426" s="31"/>
      <c r="AE426" s="30"/>
      <c r="AF426" s="30"/>
      <c r="AG426" s="33"/>
      <c r="AH426" s="32"/>
      <c r="AI426" s="30"/>
      <c r="AJ426" s="30"/>
    </row>
    <row x14ac:dyDescent="0.25" r="427" customHeight="1" ht="17.25">
      <c r="A427" s="33"/>
      <c r="B427" s="31"/>
      <c r="C427" s="31"/>
      <c r="D427" s="57"/>
      <c r="E427" s="31"/>
      <c r="F427" s="31"/>
      <c r="G427" s="31"/>
      <c r="H427" s="32"/>
      <c r="I427" s="33"/>
      <c r="J427" s="32"/>
      <c r="K427" s="33"/>
      <c r="L427" s="32"/>
      <c r="M427" s="30"/>
      <c r="N427" s="30"/>
      <c r="O427" s="31"/>
      <c r="P427" s="32"/>
      <c r="Q427" s="30"/>
      <c r="R427" s="31"/>
      <c r="S427" s="30"/>
      <c r="T427" s="30"/>
      <c r="U427" s="33"/>
      <c r="V427" s="32"/>
      <c r="W427" s="30"/>
      <c r="X427" s="30"/>
      <c r="Y427" s="30"/>
      <c r="Z427" s="30"/>
      <c r="AA427" s="31"/>
      <c r="AB427" s="32"/>
      <c r="AC427" s="30"/>
      <c r="AD427" s="31"/>
      <c r="AE427" s="30"/>
      <c r="AF427" s="30"/>
      <c r="AG427" s="33"/>
      <c r="AH427" s="32"/>
      <c r="AI427" s="30"/>
      <c r="AJ427" s="30"/>
    </row>
    <row x14ac:dyDescent="0.25" r="428" customHeight="1" ht="17.25">
      <c r="A428" s="33"/>
      <c r="B428" s="31"/>
      <c r="C428" s="31"/>
      <c r="D428" s="57"/>
      <c r="E428" s="31"/>
      <c r="F428" s="31"/>
      <c r="G428" s="31"/>
      <c r="H428" s="32"/>
      <c r="I428" s="33"/>
      <c r="J428" s="32"/>
      <c r="K428" s="33"/>
      <c r="L428" s="32"/>
      <c r="M428" s="30"/>
      <c r="N428" s="30"/>
      <c r="O428" s="31"/>
      <c r="P428" s="32"/>
      <c r="Q428" s="30"/>
      <c r="R428" s="31"/>
      <c r="S428" s="30"/>
      <c r="T428" s="30"/>
      <c r="U428" s="33"/>
      <c r="V428" s="32"/>
      <c r="W428" s="30"/>
      <c r="X428" s="30"/>
      <c r="Y428" s="30"/>
      <c r="Z428" s="30"/>
      <c r="AA428" s="31"/>
      <c r="AB428" s="32"/>
      <c r="AC428" s="30"/>
      <c r="AD428" s="31"/>
      <c r="AE428" s="30"/>
      <c r="AF428" s="30"/>
      <c r="AG428" s="33"/>
      <c r="AH428" s="32"/>
      <c r="AI428" s="30"/>
      <c r="AJ428" s="30"/>
    </row>
    <row x14ac:dyDescent="0.25" r="429" customHeight="1" ht="17.25">
      <c r="A429" s="33"/>
      <c r="B429" s="31"/>
      <c r="C429" s="31"/>
      <c r="D429" s="57"/>
      <c r="E429" s="31"/>
      <c r="F429" s="31"/>
      <c r="G429" s="31"/>
      <c r="H429" s="32"/>
      <c r="I429" s="33"/>
      <c r="J429" s="32"/>
      <c r="K429" s="33"/>
      <c r="L429" s="32"/>
      <c r="M429" s="30"/>
      <c r="N429" s="30"/>
      <c r="O429" s="31"/>
      <c r="P429" s="32"/>
      <c r="Q429" s="30"/>
      <c r="R429" s="31"/>
      <c r="S429" s="30"/>
      <c r="T429" s="30"/>
      <c r="U429" s="33"/>
      <c r="V429" s="32"/>
      <c r="W429" s="30"/>
      <c r="X429" s="30"/>
      <c r="Y429" s="30"/>
      <c r="Z429" s="30"/>
      <c r="AA429" s="31"/>
      <c r="AB429" s="32"/>
      <c r="AC429" s="30"/>
      <c r="AD429" s="31"/>
      <c r="AE429" s="30"/>
      <c r="AF429" s="30"/>
      <c r="AG429" s="33"/>
      <c r="AH429" s="32"/>
      <c r="AI429" s="30"/>
      <c r="AJ429" s="30"/>
    </row>
    <row x14ac:dyDescent="0.25" r="430" customHeight="1" ht="17.25">
      <c r="A430" s="33"/>
      <c r="B430" s="31"/>
      <c r="C430" s="31"/>
      <c r="D430" s="57"/>
      <c r="E430" s="31"/>
      <c r="F430" s="31"/>
      <c r="G430" s="31"/>
      <c r="H430" s="32"/>
      <c r="I430" s="33"/>
      <c r="J430" s="32"/>
      <c r="K430" s="33"/>
      <c r="L430" s="32"/>
      <c r="M430" s="30"/>
      <c r="N430" s="30"/>
      <c r="O430" s="31"/>
      <c r="P430" s="32"/>
      <c r="Q430" s="30"/>
      <c r="R430" s="31"/>
      <c r="S430" s="30"/>
      <c r="T430" s="30"/>
      <c r="U430" s="33"/>
      <c r="V430" s="32"/>
      <c r="W430" s="30"/>
      <c r="X430" s="30"/>
      <c r="Y430" s="30"/>
      <c r="Z430" s="30"/>
      <c r="AA430" s="31"/>
      <c r="AB430" s="32"/>
      <c r="AC430" s="30"/>
      <c r="AD430" s="31"/>
      <c r="AE430" s="30"/>
      <c r="AF430" s="30"/>
      <c r="AG430" s="33"/>
      <c r="AH430" s="32"/>
      <c r="AI430" s="30"/>
      <c r="AJ430" s="30"/>
    </row>
    <row x14ac:dyDescent="0.25" r="431" customHeight="1" ht="17.25">
      <c r="A431" s="33"/>
      <c r="B431" s="31"/>
      <c r="C431" s="31"/>
      <c r="D431" s="57"/>
      <c r="E431" s="31"/>
      <c r="F431" s="31"/>
      <c r="G431" s="31"/>
      <c r="H431" s="32"/>
      <c r="I431" s="33"/>
      <c r="J431" s="32"/>
      <c r="K431" s="33"/>
      <c r="L431" s="32"/>
      <c r="M431" s="30"/>
      <c r="N431" s="30"/>
      <c r="O431" s="31"/>
      <c r="P431" s="32"/>
      <c r="Q431" s="30"/>
      <c r="R431" s="31"/>
      <c r="S431" s="30"/>
      <c r="T431" s="30"/>
      <c r="U431" s="33"/>
      <c r="V431" s="32"/>
      <c r="W431" s="30"/>
      <c r="X431" s="30"/>
      <c r="Y431" s="30"/>
      <c r="Z431" s="30"/>
      <c r="AA431" s="31"/>
      <c r="AB431" s="32"/>
      <c r="AC431" s="30"/>
      <c r="AD431" s="31"/>
      <c r="AE431" s="30"/>
      <c r="AF431" s="30"/>
      <c r="AG431" s="33"/>
      <c r="AH431" s="32"/>
      <c r="AI431" s="30"/>
      <c r="AJ431" s="30"/>
    </row>
    <row x14ac:dyDescent="0.25" r="432" customHeight="1" ht="17.25">
      <c r="A432" s="33"/>
      <c r="B432" s="31"/>
      <c r="C432" s="31"/>
      <c r="D432" s="57"/>
      <c r="E432" s="31"/>
      <c r="F432" s="31"/>
      <c r="G432" s="31"/>
      <c r="H432" s="32"/>
      <c r="I432" s="33"/>
      <c r="J432" s="32"/>
      <c r="K432" s="33"/>
      <c r="L432" s="32"/>
      <c r="M432" s="30"/>
      <c r="N432" s="30"/>
      <c r="O432" s="31"/>
      <c r="P432" s="32"/>
      <c r="Q432" s="30"/>
      <c r="R432" s="31"/>
      <c r="S432" s="30"/>
      <c r="T432" s="30"/>
      <c r="U432" s="33"/>
      <c r="V432" s="32"/>
      <c r="W432" s="30"/>
      <c r="X432" s="30"/>
      <c r="Y432" s="30"/>
      <c r="Z432" s="30"/>
      <c r="AA432" s="31"/>
      <c r="AB432" s="32"/>
      <c r="AC432" s="30"/>
      <c r="AD432" s="31"/>
      <c r="AE432" s="30"/>
      <c r="AF432" s="30"/>
      <c r="AG432" s="33"/>
      <c r="AH432" s="32"/>
      <c r="AI432" s="30"/>
      <c r="AJ432" s="30"/>
    </row>
    <row x14ac:dyDescent="0.25" r="433" customHeight="1" ht="17.25">
      <c r="A433" s="33"/>
      <c r="B433" s="31"/>
      <c r="C433" s="31"/>
      <c r="D433" s="57"/>
      <c r="E433" s="31"/>
      <c r="F433" s="31"/>
      <c r="G433" s="31"/>
      <c r="H433" s="32"/>
      <c r="I433" s="33"/>
      <c r="J433" s="32"/>
      <c r="K433" s="33"/>
      <c r="L433" s="32"/>
      <c r="M433" s="30"/>
      <c r="N433" s="30"/>
      <c r="O433" s="31"/>
      <c r="P433" s="32"/>
      <c r="Q433" s="30"/>
      <c r="R433" s="31"/>
      <c r="S433" s="30"/>
      <c r="T433" s="30"/>
      <c r="U433" s="33"/>
      <c r="V433" s="32"/>
      <c r="W433" s="30"/>
      <c r="X433" s="30"/>
      <c r="Y433" s="30"/>
      <c r="Z433" s="30"/>
      <c r="AA433" s="31"/>
      <c r="AB433" s="32"/>
      <c r="AC433" s="30"/>
      <c r="AD433" s="31"/>
      <c r="AE433" s="30"/>
      <c r="AF433" s="30"/>
      <c r="AG433" s="33"/>
      <c r="AH433" s="32"/>
      <c r="AI433" s="30"/>
      <c r="AJ433" s="30"/>
    </row>
    <row x14ac:dyDescent="0.25" r="434" customHeight="1" ht="17.25">
      <c r="A434" s="33"/>
      <c r="B434" s="31"/>
      <c r="C434" s="31"/>
      <c r="D434" s="57"/>
      <c r="E434" s="31"/>
      <c r="F434" s="31"/>
      <c r="G434" s="31"/>
      <c r="H434" s="32"/>
      <c r="I434" s="33"/>
      <c r="J434" s="32"/>
      <c r="K434" s="33"/>
      <c r="L434" s="32"/>
      <c r="M434" s="30"/>
      <c r="N434" s="30"/>
      <c r="O434" s="31"/>
      <c r="P434" s="32"/>
      <c r="Q434" s="30"/>
      <c r="R434" s="31"/>
      <c r="S434" s="30"/>
      <c r="T434" s="30"/>
      <c r="U434" s="33"/>
      <c r="V434" s="32"/>
      <c r="W434" s="30"/>
      <c r="X434" s="30"/>
      <c r="Y434" s="30"/>
      <c r="Z434" s="30"/>
      <c r="AA434" s="31"/>
      <c r="AB434" s="32"/>
      <c r="AC434" s="30"/>
      <c r="AD434" s="31"/>
      <c r="AE434" s="30"/>
      <c r="AF434" s="30"/>
      <c r="AG434" s="33"/>
      <c r="AH434" s="32"/>
      <c r="AI434" s="30"/>
      <c r="AJ434" s="30"/>
    </row>
    <row x14ac:dyDescent="0.25" r="435" customHeight="1" ht="17.25">
      <c r="A435" s="33"/>
      <c r="B435" s="31"/>
      <c r="C435" s="31"/>
      <c r="D435" s="57"/>
      <c r="E435" s="31"/>
      <c r="F435" s="31"/>
      <c r="G435" s="31"/>
      <c r="H435" s="32"/>
      <c r="I435" s="33"/>
      <c r="J435" s="32"/>
      <c r="K435" s="33"/>
      <c r="L435" s="32"/>
      <c r="M435" s="30"/>
      <c r="N435" s="30"/>
      <c r="O435" s="31"/>
      <c r="P435" s="32"/>
      <c r="Q435" s="30"/>
      <c r="R435" s="31"/>
      <c r="S435" s="30"/>
      <c r="T435" s="30"/>
      <c r="U435" s="33"/>
      <c r="V435" s="32"/>
      <c r="W435" s="30"/>
      <c r="X435" s="30"/>
      <c r="Y435" s="30"/>
      <c r="Z435" s="30"/>
      <c r="AA435" s="31"/>
      <c r="AB435" s="32"/>
      <c r="AC435" s="30"/>
      <c r="AD435" s="31"/>
      <c r="AE435" s="30"/>
      <c r="AF435" s="30"/>
      <c r="AG435" s="33"/>
      <c r="AH435" s="32"/>
      <c r="AI435" s="30"/>
      <c r="AJ435" s="30"/>
    </row>
    <row x14ac:dyDescent="0.25" r="436" customHeight="1" ht="17.25">
      <c r="A436" s="33"/>
      <c r="B436" s="31"/>
      <c r="C436" s="31"/>
      <c r="D436" s="57"/>
      <c r="E436" s="31"/>
      <c r="F436" s="31"/>
      <c r="G436" s="31"/>
      <c r="H436" s="32"/>
      <c r="I436" s="33"/>
      <c r="J436" s="32"/>
      <c r="K436" s="33"/>
      <c r="L436" s="32"/>
      <c r="M436" s="30"/>
      <c r="N436" s="30"/>
      <c r="O436" s="31"/>
      <c r="P436" s="32"/>
      <c r="Q436" s="30"/>
      <c r="R436" s="31"/>
      <c r="S436" s="30"/>
      <c r="T436" s="30"/>
      <c r="U436" s="33"/>
      <c r="V436" s="32"/>
      <c r="W436" s="30"/>
      <c r="X436" s="30"/>
      <c r="Y436" s="30"/>
      <c r="Z436" s="30"/>
      <c r="AA436" s="31"/>
      <c r="AB436" s="32"/>
      <c r="AC436" s="30"/>
      <c r="AD436" s="31"/>
      <c r="AE436" s="30"/>
      <c r="AF436" s="30"/>
      <c r="AG436" s="33"/>
      <c r="AH436" s="32"/>
      <c r="AI436" s="30"/>
      <c r="AJ436" s="30"/>
    </row>
    <row x14ac:dyDescent="0.25" r="437" customHeight="1" ht="17.25">
      <c r="A437" s="33"/>
      <c r="B437" s="31"/>
      <c r="C437" s="31"/>
      <c r="D437" s="57"/>
      <c r="E437" s="31"/>
      <c r="F437" s="31"/>
      <c r="G437" s="31"/>
      <c r="H437" s="32"/>
      <c r="I437" s="33"/>
      <c r="J437" s="32"/>
      <c r="K437" s="33"/>
      <c r="L437" s="32"/>
      <c r="M437" s="30"/>
      <c r="N437" s="30"/>
      <c r="O437" s="31"/>
      <c r="P437" s="32"/>
      <c r="Q437" s="30"/>
      <c r="R437" s="31"/>
      <c r="S437" s="30"/>
      <c r="T437" s="30"/>
      <c r="U437" s="33"/>
      <c r="V437" s="32"/>
      <c r="W437" s="30"/>
      <c r="X437" s="30"/>
      <c r="Y437" s="30"/>
      <c r="Z437" s="30"/>
      <c r="AA437" s="31"/>
      <c r="AB437" s="32"/>
      <c r="AC437" s="30"/>
      <c r="AD437" s="31"/>
      <c r="AE437" s="30"/>
      <c r="AF437" s="30"/>
      <c r="AG437" s="33"/>
      <c r="AH437" s="32"/>
      <c r="AI437" s="30"/>
      <c r="AJ437" s="30"/>
    </row>
    <row x14ac:dyDescent="0.25" r="438" customHeight="1" ht="17.25">
      <c r="A438" s="33"/>
      <c r="B438" s="31"/>
      <c r="C438" s="31"/>
      <c r="D438" s="57"/>
      <c r="E438" s="31"/>
      <c r="F438" s="31"/>
      <c r="G438" s="31"/>
      <c r="H438" s="32"/>
      <c r="I438" s="33"/>
      <c r="J438" s="32"/>
      <c r="K438" s="33"/>
      <c r="L438" s="32"/>
      <c r="M438" s="30"/>
      <c r="N438" s="30"/>
      <c r="O438" s="31"/>
      <c r="P438" s="32"/>
      <c r="Q438" s="30"/>
      <c r="R438" s="31"/>
      <c r="S438" s="30"/>
      <c r="T438" s="30"/>
      <c r="U438" s="33"/>
      <c r="V438" s="32"/>
      <c r="W438" s="30"/>
      <c r="X438" s="30"/>
      <c r="Y438" s="30"/>
      <c r="Z438" s="30"/>
      <c r="AA438" s="31"/>
      <c r="AB438" s="32"/>
      <c r="AC438" s="30"/>
      <c r="AD438" s="31"/>
      <c r="AE438" s="30"/>
      <c r="AF438" s="30"/>
      <c r="AG438" s="33"/>
      <c r="AH438" s="32"/>
      <c r="AI438" s="30"/>
      <c r="AJ438" s="30"/>
    </row>
    <row x14ac:dyDescent="0.25" r="439" customHeight="1" ht="17.25">
      <c r="A439" s="33"/>
      <c r="B439" s="31"/>
      <c r="C439" s="31"/>
      <c r="D439" s="57"/>
      <c r="E439" s="31"/>
      <c r="F439" s="31"/>
      <c r="G439" s="31"/>
      <c r="H439" s="32"/>
      <c r="I439" s="33"/>
      <c r="J439" s="32"/>
      <c r="K439" s="33"/>
      <c r="L439" s="32"/>
      <c r="M439" s="30"/>
      <c r="N439" s="30"/>
      <c r="O439" s="31"/>
      <c r="P439" s="32"/>
      <c r="Q439" s="30"/>
      <c r="R439" s="31"/>
      <c r="S439" s="30"/>
      <c r="T439" s="30"/>
      <c r="U439" s="33"/>
      <c r="V439" s="32"/>
      <c r="W439" s="30"/>
      <c r="X439" s="30"/>
      <c r="Y439" s="30"/>
      <c r="Z439" s="30"/>
      <c r="AA439" s="31"/>
      <c r="AB439" s="32"/>
      <c r="AC439" s="30"/>
      <c r="AD439" s="31"/>
      <c r="AE439" s="30"/>
      <c r="AF439" s="30"/>
      <c r="AG439" s="33"/>
      <c r="AH439" s="32"/>
      <c r="AI439" s="30"/>
      <c r="AJ439" s="30"/>
    </row>
    <row x14ac:dyDescent="0.25" r="440" customHeight="1" ht="17.25">
      <c r="A440" s="33"/>
      <c r="B440" s="31"/>
      <c r="C440" s="31"/>
      <c r="D440" s="57"/>
      <c r="E440" s="31"/>
      <c r="F440" s="31"/>
      <c r="G440" s="31"/>
      <c r="H440" s="32"/>
      <c r="I440" s="33"/>
      <c r="J440" s="32"/>
      <c r="K440" s="33"/>
      <c r="L440" s="32"/>
      <c r="M440" s="30"/>
      <c r="N440" s="30"/>
      <c r="O440" s="31"/>
      <c r="P440" s="32"/>
      <c r="Q440" s="30"/>
      <c r="R440" s="31"/>
      <c r="S440" s="30"/>
      <c r="T440" s="30"/>
      <c r="U440" s="33"/>
      <c r="V440" s="32"/>
      <c r="W440" s="30"/>
      <c r="X440" s="30"/>
      <c r="Y440" s="30"/>
      <c r="Z440" s="30"/>
      <c r="AA440" s="31"/>
      <c r="AB440" s="32"/>
      <c r="AC440" s="30"/>
      <c r="AD440" s="31"/>
      <c r="AE440" s="30"/>
      <c r="AF440" s="30"/>
      <c r="AG440" s="33"/>
      <c r="AH440" s="32"/>
      <c r="AI440" s="30"/>
      <c r="AJ440" s="30"/>
    </row>
    <row x14ac:dyDescent="0.25" r="441" customHeight="1" ht="17.25">
      <c r="A441" s="33"/>
      <c r="B441" s="31"/>
      <c r="C441" s="31"/>
      <c r="D441" s="57"/>
      <c r="E441" s="31"/>
      <c r="F441" s="31"/>
      <c r="G441" s="31"/>
      <c r="H441" s="32"/>
      <c r="I441" s="33"/>
      <c r="J441" s="32"/>
      <c r="K441" s="33"/>
      <c r="L441" s="32"/>
      <c r="M441" s="30"/>
      <c r="N441" s="30"/>
      <c r="O441" s="31"/>
      <c r="P441" s="32"/>
      <c r="Q441" s="30"/>
      <c r="R441" s="31"/>
      <c r="S441" s="30"/>
      <c r="T441" s="30"/>
      <c r="U441" s="33"/>
      <c r="V441" s="32"/>
      <c r="W441" s="30"/>
      <c r="X441" s="30"/>
      <c r="Y441" s="30"/>
      <c r="Z441" s="30"/>
      <c r="AA441" s="31"/>
      <c r="AB441" s="32"/>
      <c r="AC441" s="30"/>
      <c r="AD441" s="31"/>
      <c r="AE441" s="30"/>
      <c r="AF441" s="30"/>
      <c r="AG441" s="33"/>
      <c r="AH441" s="32"/>
      <c r="AI441" s="30"/>
      <c r="AJ441" s="30"/>
    </row>
    <row x14ac:dyDescent="0.25" r="442" customHeight="1" ht="17.25">
      <c r="A442" s="33"/>
      <c r="B442" s="31"/>
      <c r="C442" s="31"/>
      <c r="D442" s="57"/>
      <c r="E442" s="31"/>
      <c r="F442" s="31"/>
      <c r="G442" s="31"/>
      <c r="H442" s="32"/>
      <c r="I442" s="33"/>
      <c r="J442" s="32"/>
      <c r="K442" s="33"/>
      <c r="L442" s="32"/>
      <c r="M442" s="30"/>
      <c r="N442" s="30"/>
      <c r="O442" s="31"/>
      <c r="P442" s="32"/>
      <c r="Q442" s="30"/>
      <c r="R442" s="31"/>
      <c r="S442" s="30"/>
      <c r="T442" s="30"/>
      <c r="U442" s="33"/>
      <c r="V442" s="32"/>
      <c r="W442" s="30"/>
      <c r="X442" s="30"/>
      <c r="Y442" s="30"/>
      <c r="Z442" s="30"/>
      <c r="AA442" s="31"/>
      <c r="AB442" s="32"/>
      <c r="AC442" s="30"/>
      <c r="AD442" s="31"/>
      <c r="AE442" s="30"/>
      <c r="AF442" s="30"/>
      <c r="AG442" s="33"/>
      <c r="AH442" s="32"/>
      <c r="AI442" s="30"/>
      <c r="AJ442" s="30"/>
    </row>
    <row x14ac:dyDescent="0.25" r="443" customHeight="1" ht="17.25">
      <c r="A443" s="33"/>
      <c r="B443" s="31"/>
      <c r="C443" s="31"/>
      <c r="D443" s="57"/>
      <c r="E443" s="31"/>
      <c r="F443" s="31"/>
      <c r="G443" s="31"/>
      <c r="H443" s="32"/>
      <c r="I443" s="33"/>
      <c r="J443" s="32"/>
      <c r="K443" s="33"/>
      <c r="L443" s="32"/>
      <c r="M443" s="30"/>
      <c r="N443" s="30"/>
      <c r="O443" s="31"/>
      <c r="P443" s="32"/>
      <c r="Q443" s="30"/>
      <c r="R443" s="31"/>
      <c r="S443" s="30"/>
      <c r="T443" s="30"/>
      <c r="U443" s="33"/>
      <c r="V443" s="32"/>
      <c r="W443" s="30"/>
      <c r="X443" s="30"/>
      <c r="Y443" s="30"/>
      <c r="Z443" s="30"/>
      <c r="AA443" s="31"/>
      <c r="AB443" s="32"/>
      <c r="AC443" s="30"/>
      <c r="AD443" s="31"/>
      <c r="AE443" s="30"/>
      <c r="AF443" s="30"/>
      <c r="AG443" s="33"/>
      <c r="AH443" s="32"/>
      <c r="AI443" s="30"/>
      <c r="AJ443" s="30"/>
    </row>
    <row x14ac:dyDescent="0.25" r="444" customHeight="1" ht="17.25">
      <c r="A444" s="33"/>
      <c r="B444" s="31"/>
      <c r="C444" s="31"/>
      <c r="D444" s="57"/>
      <c r="E444" s="31"/>
      <c r="F444" s="31"/>
      <c r="G444" s="31"/>
      <c r="H444" s="32"/>
      <c r="I444" s="33"/>
      <c r="J444" s="32"/>
      <c r="K444" s="33"/>
      <c r="L444" s="32"/>
      <c r="M444" s="30"/>
      <c r="N444" s="30"/>
      <c r="O444" s="31"/>
      <c r="P444" s="32"/>
      <c r="Q444" s="30"/>
      <c r="R444" s="31"/>
      <c r="S444" s="30"/>
      <c r="T444" s="30"/>
      <c r="U444" s="33"/>
      <c r="V444" s="32"/>
      <c r="W444" s="30"/>
      <c r="X444" s="30"/>
      <c r="Y444" s="30"/>
      <c r="Z444" s="30"/>
      <c r="AA444" s="31"/>
      <c r="AB444" s="32"/>
      <c r="AC444" s="30"/>
      <c r="AD444" s="31"/>
      <c r="AE444" s="30"/>
      <c r="AF444" s="30"/>
      <c r="AG444" s="33"/>
      <c r="AH444" s="32"/>
      <c r="AI444" s="30"/>
      <c r="AJ444" s="30"/>
    </row>
    <row x14ac:dyDescent="0.25" r="445" customHeight="1" ht="17.25">
      <c r="A445" s="33"/>
      <c r="B445" s="31"/>
      <c r="C445" s="31"/>
      <c r="D445" s="57"/>
      <c r="E445" s="31"/>
      <c r="F445" s="31"/>
      <c r="G445" s="31"/>
      <c r="H445" s="32"/>
      <c r="I445" s="33"/>
      <c r="J445" s="32"/>
      <c r="K445" s="33"/>
      <c r="L445" s="32"/>
      <c r="M445" s="30"/>
      <c r="N445" s="30"/>
      <c r="O445" s="31"/>
      <c r="P445" s="32"/>
      <c r="Q445" s="30"/>
      <c r="R445" s="31"/>
      <c r="S445" s="30"/>
      <c r="T445" s="30"/>
      <c r="U445" s="33"/>
      <c r="V445" s="32"/>
      <c r="W445" s="30"/>
      <c r="X445" s="30"/>
      <c r="Y445" s="30"/>
      <c r="Z445" s="30"/>
      <c r="AA445" s="31"/>
      <c r="AB445" s="32"/>
      <c r="AC445" s="30"/>
      <c r="AD445" s="31"/>
      <c r="AE445" s="30"/>
      <c r="AF445" s="30"/>
      <c r="AG445" s="33"/>
      <c r="AH445" s="32"/>
      <c r="AI445" s="30"/>
      <c r="AJ445" s="30"/>
    </row>
    <row x14ac:dyDescent="0.25" r="446" customHeight="1" ht="17.25">
      <c r="A446" s="33"/>
      <c r="B446" s="31"/>
      <c r="C446" s="31"/>
      <c r="D446" s="57"/>
      <c r="E446" s="31"/>
      <c r="F446" s="31"/>
      <c r="G446" s="31"/>
      <c r="H446" s="32"/>
      <c r="I446" s="33"/>
      <c r="J446" s="32"/>
      <c r="K446" s="33"/>
      <c r="L446" s="32"/>
      <c r="M446" s="30"/>
      <c r="N446" s="30"/>
      <c r="O446" s="31"/>
      <c r="P446" s="32"/>
      <c r="Q446" s="30"/>
      <c r="R446" s="31"/>
      <c r="S446" s="30"/>
      <c r="T446" s="30"/>
      <c r="U446" s="33"/>
      <c r="V446" s="32"/>
      <c r="W446" s="30"/>
      <c r="X446" s="30"/>
      <c r="Y446" s="30"/>
      <c r="Z446" s="30"/>
      <c r="AA446" s="31"/>
      <c r="AB446" s="32"/>
      <c r="AC446" s="30"/>
      <c r="AD446" s="31"/>
      <c r="AE446" s="30"/>
      <c r="AF446" s="30"/>
      <c r="AG446" s="33"/>
      <c r="AH446" s="32"/>
      <c r="AI446" s="30"/>
      <c r="AJ446" s="30"/>
    </row>
    <row x14ac:dyDescent="0.25" r="447" customHeight="1" ht="17.25">
      <c r="A447" s="33"/>
      <c r="B447" s="31"/>
      <c r="C447" s="31"/>
      <c r="D447" s="57"/>
      <c r="E447" s="31"/>
      <c r="F447" s="31"/>
      <c r="G447" s="31"/>
      <c r="H447" s="32"/>
      <c r="I447" s="33"/>
      <c r="J447" s="32"/>
      <c r="K447" s="33"/>
      <c r="L447" s="32"/>
      <c r="M447" s="30"/>
      <c r="N447" s="30"/>
      <c r="O447" s="31"/>
      <c r="P447" s="32"/>
      <c r="Q447" s="30"/>
      <c r="R447" s="31"/>
      <c r="S447" s="30"/>
      <c r="T447" s="30"/>
      <c r="U447" s="33"/>
      <c r="V447" s="32"/>
      <c r="W447" s="30"/>
      <c r="X447" s="30"/>
      <c r="Y447" s="30"/>
      <c r="Z447" s="30"/>
      <c r="AA447" s="31"/>
      <c r="AB447" s="32"/>
      <c r="AC447" s="30"/>
      <c r="AD447" s="31"/>
      <c r="AE447" s="30"/>
      <c r="AF447" s="30"/>
      <c r="AG447" s="33"/>
      <c r="AH447" s="32"/>
      <c r="AI447" s="30"/>
      <c r="AJ447" s="30"/>
    </row>
    <row x14ac:dyDescent="0.25" r="448" customHeight="1" ht="17.25">
      <c r="A448" s="33"/>
      <c r="B448" s="31"/>
      <c r="C448" s="31"/>
      <c r="D448" s="57"/>
      <c r="E448" s="31"/>
      <c r="F448" s="31"/>
      <c r="G448" s="31"/>
      <c r="H448" s="32"/>
      <c r="I448" s="33"/>
      <c r="J448" s="32"/>
      <c r="K448" s="33"/>
      <c r="L448" s="32"/>
      <c r="M448" s="30"/>
      <c r="N448" s="30"/>
      <c r="O448" s="31"/>
      <c r="P448" s="32"/>
      <c r="Q448" s="30"/>
      <c r="R448" s="31"/>
      <c r="S448" s="30"/>
      <c r="T448" s="30"/>
      <c r="U448" s="33"/>
      <c r="V448" s="32"/>
      <c r="W448" s="30"/>
      <c r="X448" s="30"/>
      <c r="Y448" s="30"/>
      <c r="Z448" s="30"/>
      <c r="AA448" s="31"/>
      <c r="AB448" s="32"/>
      <c r="AC448" s="30"/>
      <c r="AD448" s="31"/>
      <c r="AE448" s="30"/>
      <c r="AF448" s="30"/>
      <c r="AG448" s="33"/>
      <c r="AH448" s="32"/>
      <c r="AI448" s="30"/>
      <c r="AJ448" s="30"/>
    </row>
    <row x14ac:dyDescent="0.25" r="449" customHeight="1" ht="17.25">
      <c r="A449" s="33"/>
      <c r="B449" s="31"/>
      <c r="C449" s="31"/>
      <c r="D449" s="57"/>
      <c r="E449" s="31"/>
      <c r="F449" s="31"/>
      <c r="G449" s="31"/>
      <c r="H449" s="32"/>
      <c r="I449" s="33"/>
      <c r="J449" s="32"/>
      <c r="K449" s="33"/>
      <c r="L449" s="32"/>
      <c r="M449" s="30"/>
      <c r="N449" s="30"/>
      <c r="O449" s="31"/>
      <c r="P449" s="32"/>
      <c r="Q449" s="30"/>
      <c r="R449" s="31"/>
      <c r="S449" s="30"/>
      <c r="T449" s="30"/>
      <c r="U449" s="33"/>
      <c r="V449" s="32"/>
      <c r="W449" s="30"/>
      <c r="X449" s="30"/>
      <c r="Y449" s="30"/>
      <c r="Z449" s="30"/>
      <c r="AA449" s="31"/>
      <c r="AB449" s="32"/>
      <c r="AC449" s="30"/>
      <c r="AD449" s="31"/>
      <c r="AE449" s="30"/>
      <c r="AF449" s="30"/>
      <c r="AG449" s="33"/>
      <c r="AH449" s="32"/>
      <c r="AI449" s="30"/>
      <c r="AJ449" s="30"/>
    </row>
    <row x14ac:dyDescent="0.25" r="450" customHeight="1" ht="17.25">
      <c r="A450" s="33"/>
      <c r="B450" s="31"/>
      <c r="C450" s="31"/>
      <c r="D450" s="57"/>
      <c r="E450" s="31"/>
      <c r="F450" s="31"/>
      <c r="G450" s="31"/>
      <c r="H450" s="32"/>
      <c r="I450" s="33"/>
      <c r="J450" s="32"/>
      <c r="K450" s="33"/>
      <c r="L450" s="32"/>
      <c r="M450" s="30"/>
      <c r="N450" s="30"/>
      <c r="O450" s="31"/>
      <c r="P450" s="32"/>
      <c r="Q450" s="30"/>
      <c r="R450" s="31"/>
      <c r="S450" s="30"/>
      <c r="T450" s="30"/>
      <c r="U450" s="33"/>
      <c r="V450" s="32"/>
      <c r="W450" s="30"/>
      <c r="X450" s="30"/>
      <c r="Y450" s="30"/>
      <c r="Z450" s="30"/>
      <c r="AA450" s="31"/>
      <c r="AB450" s="32"/>
      <c r="AC450" s="30"/>
      <c r="AD450" s="31"/>
      <c r="AE450" s="30"/>
      <c r="AF450" s="30"/>
      <c r="AG450" s="33"/>
      <c r="AH450" s="32"/>
      <c r="AI450" s="30"/>
      <c r="AJ450" s="30"/>
    </row>
    <row x14ac:dyDescent="0.25" r="451" customHeight="1" ht="17.25">
      <c r="A451" s="33"/>
      <c r="B451" s="31"/>
      <c r="C451" s="31"/>
      <c r="D451" s="57"/>
      <c r="E451" s="31"/>
      <c r="F451" s="31"/>
      <c r="G451" s="31"/>
      <c r="H451" s="32"/>
      <c r="I451" s="33"/>
      <c r="J451" s="32"/>
      <c r="K451" s="33"/>
      <c r="L451" s="32"/>
      <c r="M451" s="30"/>
      <c r="N451" s="30"/>
      <c r="O451" s="31"/>
      <c r="P451" s="32"/>
      <c r="Q451" s="30"/>
      <c r="R451" s="31"/>
      <c r="S451" s="30"/>
      <c r="T451" s="30"/>
      <c r="U451" s="33"/>
      <c r="V451" s="32"/>
      <c r="W451" s="30"/>
      <c r="X451" s="30"/>
      <c r="Y451" s="30"/>
      <c r="Z451" s="30"/>
      <c r="AA451" s="31"/>
      <c r="AB451" s="32"/>
      <c r="AC451" s="30"/>
      <c r="AD451" s="31"/>
      <c r="AE451" s="30"/>
      <c r="AF451" s="30"/>
      <c r="AG451" s="33"/>
      <c r="AH451" s="32"/>
      <c r="AI451" s="30"/>
      <c r="AJ451" s="30"/>
    </row>
    <row x14ac:dyDescent="0.25" r="452" customHeight="1" ht="17.25">
      <c r="A452" s="33"/>
      <c r="B452" s="31"/>
      <c r="C452" s="31"/>
      <c r="D452" s="57"/>
      <c r="E452" s="31"/>
      <c r="F452" s="31"/>
      <c r="G452" s="31"/>
      <c r="H452" s="32"/>
      <c r="I452" s="33"/>
      <c r="J452" s="32"/>
      <c r="K452" s="33"/>
      <c r="L452" s="32"/>
      <c r="M452" s="30"/>
      <c r="N452" s="30"/>
      <c r="O452" s="31"/>
      <c r="P452" s="32"/>
      <c r="Q452" s="30"/>
      <c r="R452" s="31"/>
      <c r="S452" s="30"/>
      <c r="T452" s="30"/>
      <c r="U452" s="33"/>
      <c r="V452" s="32"/>
      <c r="W452" s="30"/>
      <c r="X452" s="30"/>
      <c r="Y452" s="30"/>
      <c r="Z452" s="30"/>
      <c r="AA452" s="31"/>
      <c r="AB452" s="32"/>
      <c r="AC452" s="30"/>
      <c r="AD452" s="31"/>
      <c r="AE452" s="30"/>
      <c r="AF452" s="30"/>
      <c r="AG452" s="33"/>
      <c r="AH452" s="32"/>
      <c r="AI452" s="30"/>
      <c r="AJ452" s="30"/>
    </row>
    <row x14ac:dyDescent="0.25" r="453" customHeight="1" ht="17.25">
      <c r="A453" s="33"/>
      <c r="B453" s="31"/>
      <c r="C453" s="31"/>
      <c r="D453" s="57"/>
      <c r="E453" s="31"/>
      <c r="F453" s="31"/>
      <c r="G453" s="31"/>
      <c r="H453" s="32"/>
      <c r="I453" s="33"/>
      <c r="J453" s="32"/>
      <c r="K453" s="33"/>
      <c r="L453" s="32"/>
      <c r="M453" s="30"/>
      <c r="N453" s="30"/>
      <c r="O453" s="31"/>
      <c r="P453" s="32"/>
      <c r="Q453" s="30"/>
      <c r="R453" s="31"/>
      <c r="S453" s="30"/>
      <c r="T453" s="30"/>
      <c r="U453" s="33"/>
      <c r="V453" s="32"/>
      <c r="W453" s="30"/>
      <c r="X453" s="30"/>
      <c r="Y453" s="30"/>
      <c r="Z453" s="30"/>
      <c r="AA453" s="31"/>
      <c r="AB453" s="32"/>
      <c r="AC453" s="30"/>
      <c r="AD453" s="31"/>
      <c r="AE453" s="30"/>
      <c r="AF453" s="30"/>
      <c r="AG453" s="33"/>
      <c r="AH453" s="32"/>
      <c r="AI453" s="30"/>
      <c r="AJ453" s="30"/>
    </row>
    <row x14ac:dyDescent="0.25" r="454" customHeight="1" ht="17.25">
      <c r="A454" s="33"/>
      <c r="B454" s="31"/>
      <c r="C454" s="31"/>
      <c r="D454" s="57"/>
      <c r="E454" s="31"/>
      <c r="F454" s="31"/>
      <c r="G454" s="31"/>
      <c r="H454" s="32"/>
      <c r="I454" s="33"/>
      <c r="J454" s="32"/>
      <c r="K454" s="33"/>
      <c r="L454" s="32"/>
      <c r="M454" s="30"/>
      <c r="N454" s="30"/>
      <c r="O454" s="31"/>
      <c r="P454" s="32"/>
      <c r="Q454" s="30"/>
      <c r="R454" s="31"/>
      <c r="S454" s="30"/>
      <c r="T454" s="30"/>
      <c r="U454" s="33"/>
      <c r="V454" s="32"/>
      <c r="W454" s="30"/>
      <c r="X454" s="30"/>
      <c r="Y454" s="30"/>
      <c r="Z454" s="30"/>
      <c r="AA454" s="31"/>
      <c r="AB454" s="32"/>
      <c r="AC454" s="30"/>
      <c r="AD454" s="31"/>
      <c r="AE454" s="30"/>
      <c r="AF454" s="30"/>
      <c r="AG454" s="33"/>
      <c r="AH454" s="32"/>
      <c r="AI454" s="30"/>
      <c r="AJ454" s="30"/>
    </row>
    <row x14ac:dyDescent="0.25" r="455" customHeight="1" ht="17.25">
      <c r="A455" s="33"/>
      <c r="B455" s="31"/>
      <c r="C455" s="31"/>
      <c r="D455" s="57"/>
      <c r="E455" s="31"/>
      <c r="F455" s="31"/>
      <c r="G455" s="31"/>
      <c r="H455" s="32"/>
      <c r="I455" s="33"/>
      <c r="J455" s="32"/>
      <c r="K455" s="33"/>
      <c r="L455" s="32"/>
      <c r="M455" s="30"/>
      <c r="N455" s="30"/>
      <c r="O455" s="31"/>
      <c r="P455" s="32"/>
      <c r="Q455" s="30"/>
      <c r="R455" s="31"/>
      <c r="S455" s="30"/>
      <c r="T455" s="30"/>
      <c r="U455" s="33"/>
      <c r="V455" s="32"/>
      <c r="W455" s="30"/>
      <c r="X455" s="30"/>
      <c r="Y455" s="30"/>
      <c r="Z455" s="30"/>
      <c r="AA455" s="31"/>
      <c r="AB455" s="32"/>
      <c r="AC455" s="30"/>
      <c r="AD455" s="31"/>
      <c r="AE455" s="30"/>
      <c r="AF455" s="30"/>
      <c r="AG455" s="33"/>
      <c r="AH455" s="32"/>
      <c r="AI455" s="30"/>
      <c r="AJ455" s="30"/>
    </row>
    <row x14ac:dyDescent="0.25" r="456" customHeight="1" ht="17.25">
      <c r="A456" s="33"/>
      <c r="B456" s="31"/>
      <c r="C456" s="31"/>
      <c r="D456" s="57"/>
      <c r="E456" s="31"/>
      <c r="F456" s="31"/>
      <c r="G456" s="31"/>
      <c r="H456" s="32"/>
      <c r="I456" s="33"/>
      <c r="J456" s="32"/>
      <c r="K456" s="33"/>
      <c r="L456" s="32"/>
      <c r="M456" s="30"/>
      <c r="N456" s="30"/>
      <c r="O456" s="31"/>
      <c r="P456" s="32"/>
      <c r="Q456" s="30"/>
      <c r="R456" s="31"/>
      <c r="S456" s="30"/>
      <c r="T456" s="30"/>
      <c r="U456" s="33"/>
      <c r="V456" s="32"/>
      <c r="W456" s="30"/>
      <c r="X456" s="30"/>
      <c r="Y456" s="30"/>
      <c r="Z456" s="30"/>
      <c r="AA456" s="31"/>
      <c r="AB456" s="32"/>
      <c r="AC456" s="30"/>
      <c r="AD456" s="31"/>
      <c r="AE456" s="30"/>
      <c r="AF456" s="30"/>
      <c r="AG456" s="33"/>
      <c r="AH456" s="32"/>
      <c r="AI456" s="30"/>
      <c r="AJ456" s="30"/>
    </row>
    <row x14ac:dyDescent="0.25" r="457" customHeight="1" ht="17.25">
      <c r="A457" s="33"/>
      <c r="B457" s="31"/>
      <c r="C457" s="31"/>
      <c r="D457" s="57"/>
      <c r="E457" s="31"/>
      <c r="F457" s="31"/>
      <c r="G457" s="31"/>
      <c r="H457" s="32"/>
      <c r="I457" s="33"/>
      <c r="J457" s="32"/>
      <c r="K457" s="33"/>
      <c r="L457" s="32"/>
      <c r="M457" s="30"/>
      <c r="N457" s="30"/>
      <c r="O457" s="31"/>
      <c r="P457" s="32"/>
      <c r="Q457" s="30"/>
      <c r="R457" s="31"/>
      <c r="S457" s="30"/>
      <c r="T457" s="30"/>
      <c r="U457" s="33"/>
      <c r="V457" s="32"/>
      <c r="W457" s="30"/>
      <c r="X457" s="30"/>
      <c r="Y457" s="30"/>
      <c r="Z457" s="30"/>
      <c r="AA457" s="31"/>
      <c r="AB457" s="32"/>
      <c r="AC457" s="30"/>
      <c r="AD457" s="31"/>
      <c r="AE457" s="30"/>
      <c r="AF457" s="30"/>
      <c r="AG457" s="33"/>
      <c r="AH457" s="32"/>
      <c r="AI457" s="30"/>
      <c r="AJ457" s="30"/>
    </row>
    <row x14ac:dyDescent="0.25" r="458" customHeight="1" ht="17.25">
      <c r="A458" s="33"/>
      <c r="B458" s="31"/>
      <c r="C458" s="31"/>
      <c r="D458" s="57"/>
      <c r="E458" s="31"/>
      <c r="F458" s="31"/>
      <c r="G458" s="31"/>
      <c r="H458" s="32"/>
      <c r="I458" s="33"/>
      <c r="J458" s="32"/>
      <c r="K458" s="33"/>
      <c r="L458" s="32"/>
      <c r="M458" s="30"/>
      <c r="N458" s="30"/>
      <c r="O458" s="31"/>
      <c r="P458" s="32"/>
      <c r="Q458" s="30"/>
      <c r="R458" s="31"/>
      <c r="S458" s="30"/>
      <c r="T458" s="30"/>
      <c r="U458" s="33"/>
      <c r="V458" s="32"/>
      <c r="W458" s="30"/>
      <c r="X458" s="30"/>
      <c r="Y458" s="30"/>
      <c r="Z458" s="30"/>
      <c r="AA458" s="31"/>
      <c r="AB458" s="32"/>
      <c r="AC458" s="30"/>
      <c r="AD458" s="31"/>
      <c r="AE458" s="30"/>
      <c r="AF458" s="30"/>
      <c r="AG458" s="33"/>
      <c r="AH458" s="32"/>
      <c r="AI458" s="30"/>
      <c r="AJ458" s="30"/>
    </row>
    <row x14ac:dyDescent="0.25" r="459" customHeight="1" ht="17.25">
      <c r="A459" s="33"/>
      <c r="B459" s="31"/>
      <c r="C459" s="31"/>
      <c r="D459" s="57"/>
      <c r="E459" s="31"/>
      <c r="F459" s="31"/>
      <c r="G459" s="31"/>
      <c r="H459" s="32"/>
      <c r="I459" s="33"/>
      <c r="J459" s="32"/>
      <c r="K459" s="33"/>
      <c r="L459" s="32"/>
      <c r="M459" s="30"/>
      <c r="N459" s="30"/>
      <c r="O459" s="31"/>
      <c r="P459" s="32"/>
      <c r="Q459" s="30"/>
      <c r="R459" s="31"/>
      <c r="S459" s="30"/>
      <c r="T459" s="30"/>
      <c r="U459" s="33"/>
      <c r="V459" s="32"/>
      <c r="W459" s="30"/>
      <c r="X459" s="30"/>
      <c r="Y459" s="30"/>
      <c r="Z459" s="30"/>
      <c r="AA459" s="31"/>
      <c r="AB459" s="32"/>
      <c r="AC459" s="30"/>
      <c r="AD459" s="31"/>
      <c r="AE459" s="30"/>
      <c r="AF459" s="30"/>
      <c r="AG459" s="33"/>
      <c r="AH459" s="32"/>
      <c r="AI459" s="30"/>
      <c r="AJ459" s="30"/>
    </row>
    <row x14ac:dyDescent="0.25" r="460" customHeight="1" ht="17.25">
      <c r="A460" s="33"/>
      <c r="B460" s="31"/>
      <c r="C460" s="31"/>
      <c r="D460" s="57"/>
      <c r="E460" s="31"/>
      <c r="F460" s="31"/>
      <c r="G460" s="31"/>
      <c r="H460" s="32"/>
      <c r="I460" s="33"/>
      <c r="J460" s="32"/>
      <c r="K460" s="33"/>
      <c r="L460" s="32"/>
      <c r="M460" s="30"/>
      <c r="N460" s="30"/>
      <c r="O460" s="31"/>
      <c r="P460" s="32"/>
      <c r="Q460" s="30"/>
      <c r="R460" s="31"/>
      <c r="S460" s="30"/>
      <c r="T460" s="30"/>
      <c r="U460" s="33"/>
      <c r="V460" s="32"/>
      <c r="W460" s="30"/>
      <c r="X460" s="30"/>
      <c r="Y460" s="30"/>
      <c r="Z460" s="30"/>
      <c r="AA460" s="31"/>
      <c r="AB460" s="32"/>
      <c r="AC460" s="30"/>
      <c r="AD460" s="31"/>
      <c r="AE460" s="30"/>
      <c r="AF460" s="30"/>
      <c r="AG460" s="33"/>
      <c r="AH460" s="32"/>
      <c r="AI460" s="30"/>
      <c r="AJ460" s="30"/>
    </row>
    <row x14ac:dyDescent="0.25" r="461" customHeight="1" ht="17.25">
      <c r="A461" s="33"/>
      <c r="B461" s="31"/>
      <c r="C461" s="31"/>
      <c r="D461" s="57"/>
      <c r="E461" s="31"/>
      <c r="F461" s="31"/>
      <c r="G461" s="31"/>
      <c r="H461" s="32"/>
      <c r="I461" s="33"/>
      <c r="J461" s="32"/>
      <c r="K461" s="33"/>
      <c r="L461" s="32"/>
      <c r="M461" s="30"/>
      <c r="N461" s="30"/>
      <c r="O461" s="31"/>
      <c r="P461" s="32"/>
      <c r="Q461" s="30"/>
      <c r="R461" s="31"/>
      <c r="S461" s="30"/>
      <c r="T461" s="30"/>
      <c r="U461" s="33"/>
      <c r="V461" s="32"/>
      <c r="W461" s="30"/>
      <c r="X461" s="30"/>
      <c r="Y461" s="30"/>
      <c r="Z461" s="30"/>
      <c r="AA461" s="31"/>
      <c r="AB461" s="32"/>
      <c r="AC461" s="30"/>
      <c r="AD461" s="31"/>
      <c r="AE461" s="30"/>
      <c r="AF461" s="30"/>
      <c r="AG461" s="33"/>
      <c r="AH461" s="32"/>
      <c r="AI461" s="30"/>
      <c r="AJ461" s="30"/>
    </row>
  </sheetData>
  <mergeCells count="38">
    <mergeCell ref="A2:L2"/>
    <mergeCell ref="M2:X2"/>
    <mergeCell ref="Y2:AJ2"/>
    <mergeCell ref="A3:F3"/>
    <mergeCell ref="G3:L3"/>
    <mergeCell ref="M3:R3"/>
    <mergeCell ref="S3:X3"/>
    <mergeCell ref="Y3:AD3"/>
    <mergeCell ref="AE3:AJ3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M6:N242"/>
    <mergeCell ref="Q6:R242"/>
    <mergeCell ref="S6:T242"/>
    <mergeCell ref="W6:X242"/>
    <mergeCell ref="Y6:Z242"/>
    <mergeCell ref="AC6:AD242"/>
    <mergeCell ref="AE6:AF242"/>
    <mergeCell ref="AI6:AJ242"/>
    <mergeCell ref="A244:G244"/>
    <mergeCell ref="M244:S244"/>
    <mergeCell ref="Y244:AE2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8"/>
  <sheetViews>
    <sheetView workbookViewId="0"/>
  </sheetViews>
  <sheetFormatPr defaultRowHeight="15" x14ac:dyDescent="0.25"/>
  <cols>
    <col min="1" max="1" style="23" width="12.43357142857143" customWidth="1" bestFit="1"/>
    <col min="2" max="2" style="24" width="12.43357142857143" customWidth="1" bestFit="1"/>
    <col min="3" max="3" style="24" width="12.43357142857143" customWidth="1" bestFit="1"/>
    <col min="4" max="4" style="23" width="12.43357142857143" customWidth="1" bestFit="1"/>
    <col min="5" max="5" style="24" width="12.43357142857143" customWidth="1" bestFit="1"/>
    <col min="6" max="6" style="23" width="12.43357142857143" customWidth="1" bestFit="1"/>
    <col min="7" max="7" style="24" width="12.43357142857143" customWidth="1" bestFit="1"/>
    <col min="8" max="8" style="23" width="12.43357142857143" customWidth="1" bestFit="1"/>
    <col min="9" max="9" style="24" width="12.43357142857143" customWidth="1" bestFit="1"/>
    <col min="10" max="10" style="23" width="12.43357142857143" customWidth="1" bestFit="1"/>
    <col min="11" max="11" style="24" width="12.43357142857143" customWidth="1" bestFit="1"/>
  </cols>
  <sheetData>
    <row x14ac:dyDescent="0.25" r="1" customHeight="1" ht="17.25">
      <c r="A1" s="1" t="s">
        <v>0</v>
      </c>
      <c r="B1" s="2"/>
      <c r="C1" s="3"/>
      <c r="D1" s="1" t="s">
        <v>1</v>
      </c>
      <c r="E1" s="3"/>
      <c r="F1" s="1" t="s">
        <v>2</v>
      </c>
      <c r="G1" s="3"/>
      <c r="H1" s="1" t="s">
        <v>3</v>
      </c>
      <c r="I1" s="3"/>
      <c r="J1" s="1" t="s">
        <v>4</v>
      </c>
      <c r="K1" s="3"/>
    </row>
    <row x14ac:dyDescent="0.25" r="2" customHeight="1" ht="17.25">
      <c r="A2" s="1" t="s">
        <v>5</v>
      </c>
      <c r="B2" s="2" t="s">
        <v>6</v>
      </c>
      <c r="C2" s="3" t="s">
        <v>7</v>
      </c>
      <c r="D2" s="4" t="s">
        <v>5</v>
      </c>
      <c r="E2" s="5" t="s">
        <v>8</v>
      </c>
      <c r="F2" s="1" t="s">
        <v>5</v>
      </c>
      <c r="G2" s="3" t="s">
        <v>8</v>
      </c>
      <c r="H2" s="1" t="s">
        <v>5</v>
      </c>
      <c r="I2" s="3" t="s">
        <v>8</v>
      </c>
      <c r="J2" s="6" t="s">
        <v>5</v>
      </c>
      <c r="K2" s="7" t="s">
        <v>9</v>
      </c>
    </row>
    <row x14ac:dyDescent="0.25" r="3" customHeight="1" ht="17.25">
      <c r="A3" s="8">
        <f>AVERAGE(Initial_magnetization_curve!A6,Initial_magnetization_curve!D6,Initial_magnetization_curve!G6,Initial_magnetization_curve!J6,Initial_magnetization_curve!M6,Initial_magnetization_curve!P6)</f>
      </c>
      <c r="B3" s="9">
        <f>STDEV(Initial_magnetization_curve!B6,Initial_magnetization_curve!E6,Initial_magnetization_curve!H6)/AVERAGE(Initial_magnetization_curve!B6,Initial_magnetization_curve!E6,Initial_magnetization_curve!H6)*100</f>
      </c>
      <c r="C3" s="9">
        <f>STDEV(Initial_magnetization_curve!K6,Initial_magnetization_curve!N6,Initial_magnetization_curve!Q6)/AVERAGE(Initial_magnetization_curve!K6,Initial_magnetization_curve!N6,Initial_magnetization_curve!Q6)*100</f>
      </c>
      <c r="D3" s="8">
        <f>AVERAGE(Initial_magnetization_curve!D6,Initial_magnetization_curve!G6,Initial_magnetization_curve!J6,Initial_magnetization_curve!M6,Initial_magnetization_curve!P6,A3)</f>
      </c>
      <c r="E3" s="10">
        <f>STDEV(Initial_magnetization_curve!B6,Initial_magnetization_curve!E6,Initial_magnetization_curve!H6,Initial_magnetization_curve!K6,Initial_magnetization_curve!N6,Initial_magnetization_curve!Q6)/AVERAGE(Initial_magnetization_curve!B6,Initial_magnetization_curve!E6,Initial_magnetization_curve!H6,Initial_magnetization_curve!K6,Initial_magnetization_curve!N6,Initial_magnetization_curve!Q6)*100</f>
      </c>
      <c r="F3" s="11">
        <f>AVERAGE(Initial_magnetization_curve!A47,Initial_magnetization_curve!D47,Initial_magnetization_curve!G47,Initial_magnetization_curve!J47,Initial_magnetization_curve!M47,Initial_magnetization_curve!P47)</f>
      </c>
      <c r="G3" s="12">
        <f>STDEV(Initial_magnetization_curve!E47,Initial_magnetization_curve!N47)/AVERAGE(Initial_magnetization_curve!E47,Initial_magnetization_curve!N47)*100</f>
      </c>
      <c r="H3" s="11">
        <f>AVERAGE(Initial_magnetization_curve!A88,Initial_magnetization_curve!D88,Initial_magnetization_curve!G88,Initial_magnetization_curve!J88,Initial_magnetization_curve!M88,Initial_magnetization_curve!P88)</f>
      </c>
      <c r="I3" s="12">
        <f>STDEV(Initial_magnetization_curve!E88,Initial_magnetization_curve!N88)/AVERAGE(Initial_magnetization_curve!E88,Initial_magnetization_curve!N88)*100</f>
      </c>
      <c r="J3" s="13">
        <f>AVERAGE(Initial_magnetization_curve!D6,Initial_magnetization_curve!G6,Initial_magnetization_curve!J6,Initial_magnetization_curve!M6,Initial_magnetization_curve!P6,A3,Initial_magnetization_curve!D47,Initial_magnetization_curve!M47,Initial_magnetization_curve!D88,Initial_magnetization_curve!M88)</f>
      </c>
      <c r="K3" s="14">
        <f>STDEV(Initial_magnetization_curve!B6,Initial_magnetization_curve!E6,Initial_magnetization_curve!H6,Initial_magnetization_curve!K6,Initial_magnetization_curve!N6,Initial_magnetization_curve!Q6,Initial_magnetization_curve!E47,Initial_magnetization_curve!N47,Initial_magnetization_curve!E88,Initial_magnetization_curve!N88)/AVERAGE(Initial_magnetization_curve!B6,Initial_magnetization_curve!E6,Initial_magnetization_curve!H6,Initial_magnetization_curve!K6,Initial_magnetization_curve!N6,Initial_magnetization_curve!Q6,Initial_magnetization_curve!E47,Initial_magnetization_curve!N47,Initial_magnetization_curve!E88,Initial_magnetization_curve!N88)*100</f>
      </c>
    </row>
    <row x14ac:dyDescent="0.25" r="4" customHeight="1" ht="17.25">
      <c r="A4" s="11">
        <f>AVERAGE(Initial_magnetization_curve!A7,Initial_magnetization_curve!D7,Initial_magnetization_curve!G7,Initial_magnetization_curve!J7,Initial_magnetization_curve!M7,Initial_magnetization_curve!P7)</f>
      </c>
      <c r="B4" s="15">
        <f>STDEV(Initial_magnetization_curve!B7,Initial_magnetization_curve!E7,Initial_magnetization_curve!H7)/AVERAGE(Initial_magnetization_curve!B7,Initial_magnetization_curve!E7,Initial_magnetization_curve!H7)*100</f>
      </c>
      <c r="C4" s="15">
        <f>STDEV(Initial_magnetization_curve!K7,Initial_magnetization_curve!N7,Initial_magnetization_curve!Q7)/AVERAGE(Initial_magnetization_curve!K7,Initial_magnetization_curve!N7,Initial_magnetization_curve!Q7)*100</f>
      </c>
      <c r="D4" s="11">
        <f>AVERAGE(Initial_magnetization_curve!D7,Initial_magnetization_curve!G7,Initial_magnetization_curve!J7,Initial_magnetization_curve!M7,Initial_magnetization_curve!P7,A4)</f>
      </c>
      <c r="E4" s="12">
        <f>STDEV(Initial_magnetization_curve!B7,Initial_magnetization_curve!E7,Initial_magnetization_curve!H7,Initial_magnetization_curve!K7,Initial_magnetization_curve!N7,Initial_magnetization_curve!Q7)/AVERAGE(Initial_magnetization_curve!B7,Initial_magnetization_curve!E7,Initial_magnetization_curve!H7,Initial_magnetization_curve!K7,Initial_magnetization_curve!N7,Initial_magnetization_curve!Q7)*100</f>
      </c>
      <c r="F4" s="11">
        <f>AVERAGE(Initial_magnetization_curve!A48,Initial_magnetization_curve!D48,Initial_magnetization_curve!G48,Initial_magnetization_curve!J48,Initial_magnetization_curve!M48,Initial_magnetization_curve!P48)</f>
      </c>
      <c r="G4" s="12">
        <f>STDEV(Initial_magnetization_curve!E48,Initial_magnetization_curve!N48)/AVERAGE(Initial_magnetization_curve!E48,Initial_magnetization_curve!N48)*100</f>
      </c>
      <c r="H4" s="11">
        <f>AVERAGE(Initial_magnetization_curve!A89,Initial_magnetization_curve!D89,Initial_magnetization_curve!G89,Initial_magnetization_curve!J89,Initial_magnetization_curve!M89,Initial_magnetization_curve!P89)</f>
      </c>
      <c r="I4" s="12">
        <f>STDEV(Initial_magnetization_curve!E89,Initial_magnetization_curve!N89)/AVERAGE(Initial_magnetization_curve!E89,Initial_magnetization_curve!N89)*100</f>
      </c>
      <c r="J4" s="16">
        <f>AVERAGE(Initial_magnetization_curve!D7,Initial_magnetization_curve!G7,Initial_magnetization_curve!J7,Initial_magnetization_curve!M7,Initial_magnetization_curve!P7,A4,Initial_magnetization_curve!D48,Initial_magnetization_curve!M48,Initial_magnetization_curve!D89,Initial_magnetization_curve!M89)</f>
      </c>
      <c r="K4" s="17">
        <f>STDEV(Initial_magnetization_curve!B7,Initial_magnetization_curve!E7,Initial_magnetization_curve!H7,Initial_magnetization_curve!K7,Initial_magnetization_curve!N7,Initial_magnetization_curve!Q7,Initial_magnetization_curve!E48,Initial_magnetization_curve!N48,Initial_magnetization_curve!E89,Initial_magnetization_curve!N89)/AVERAGE(Initial_magnetization_curve!B7,Initial_magnetization_curve!E7,Initial_magnetization_curve!H7,Initial_magnetization_curve!K7,Initial_magnetization_curve!N7,Initial_magnetization_curve!Q7,Initial_magnetization_curve!E48,Initial_magnetization_curve!N48,Initial_magnetization_curve!E89,Initial_magnetization_curve!N89)*100</f>
      </c>
    </row>
    <row x14ac:dyDescent="0.25" r="5" customHeight="1" ht="17.25">
      <c r="A5" s="11">
        <f>AVERAGE(Initial_magnetization_curve!A8,Initial_magnetization_curve!D8,Initial_magnetization_curve!G8,Initial_magnetization_curve!J8,Initial_magnetization_curve!M8,Initial_magnetization_curve!P8)</f>
      </c>
      <c r="B5" s="15">
        <f>STDEV(Initial_magnetization_curve!B8,Initial_magnetization_curve!E8,Initial_magnetization_curve!H8)/AVERAGE(Initial_magnetization_curve!B8,Initial_magnetization_curve!E8,Initial_magnetization_curve!H8)*100</f>
      </c>
      <c r="C5" s="15">
        <f>STDEV(Initial_magnetization_curve!K8,Initial_magnetization_curve!N8,Initial_magnetization_curve!Q8)/AVERAGE(Initial_magnetization_curve!K8,Initial_magnetization_curve!N8,Initial_magnetization_curve!Q8)*100</f>
      </c>
      <c r="D5" s="11">
        <f>AVERAGE(Initial_magnetization_curve!D8,Initial_magnetization_curve!G8,Initial_magnetization_curve!J8,Initial_magnetization_curve!M8,Initial_magnetization_curve!P8,A5)</f>
      </c>
      <c r="E5" s="12">
        <f>STDEV(Initial_magnetization_curve!B8,Initial_magnetization_curve!E8,Initial_magnetization_curve!H8,Initial_magnetization_curve!K8,Initial_magnetization_curve!N8,Initial_magnetization_curve!Q8)/AVERAGE(Initial_magnetization_curve!B8,Initial_magnetization_curve!E8,Initial_magnetization_curve!H8,Initial_magnetization_curve!K8,Initial_magnetization_curve!N8,Initial_magnetization_curve!Q8)*100</f>
      </c>
      <c r="F5" s="11">
        <f>AVERAGE(Initial_magnetization_curve!A49,Initial_magnetization_curve!D49,Initial_magnetization_curve!G49,Initial_magnetization_curve!J49,Initial_magnetization_curve!M49,Initial_magnetization_curve!P49)</f>
      </c>
      <c r="G5" s="12">
        <f>STDEV(Initial_magnetization_curve!E49,Initial_magnetization_curve!N49)/AVERAGE(Initial_magnetization_curve!E49,Initial_magnetization_curve!N49)*100</f>
      </c>
      <c r="H5" s="11">
        <f>AVERAGE(Initial_magnetization_curve!A90,Initial_magnetization_curve!D90,Initial_magnetization_curve!G90,Initial_magnetization_curve!J90,Initial_magnetization_curve!M90,Initial_magnetization_curve!P90)</f>
      </c>
      <c r="I5" s="12">
        <f>STDEV(Initial_magnetization_curve!E90,Initial_magnetization_curve!N90)/AVERAGE(Initial_magnetization_curve!E90,Initial_magnetization_curve!N90)*100</f>
      </c>
      <c r="J5" s="16">
        <f>AVERAGE(Initial_magnetization_curve!D8,Initial_magnetization_curve!G8,Initial_magnetization_curve!J8,Initial_magnetization_curve!M8,Initial_magnetization_curve!P8,A5,Initial_magnetization_curve!D49,Initial_magnetization_curve!M49,Initial_magnetization_curve!D90,Initial_magnetization_curve!M90)</f>
      </c>
      <c r="K5" s="17">
        <f>STDEV(Initial_magnetization_curve!B8,Initial_magnetization_curve!E8,Initial_magnetization_curve!H8,Initial_magnetization_curve!K8,Initial_magnetization_curve!N8,Initial_magnetization_curve!Q8,Initial_magnetization_curve!E49,Initial_magnetization_curve!N49,Initial_magnetization_curve!E90,Initial_magnetization_curve!N90)/AVERAGE(Initial_magnetization_curve!B8,Initial_magnetization_curve!E8,Initial_magnetization_curve!H8,Initial_magnetization_curve!K8,Initial_magnetization_curve!N8,Initial_magnetization_curve!Q8,Initial_magnetization_curve!E49,Initial_magnetization_curve!N49,Initial_magnetization_curve!E90,Initial_magnetization_curve!N90)*100</f>
      </c>
    </row>
    <row x14ac:dyDescent="0.25" r="6" customHeight="1" ht="17.25">
      <c r="A6" s="11">
        <f>AVERAGE(Initial_magnetization_curve!A9,Initial_magnetization_curve!D9,Initial_magnetization_curve!G9,Initial_magnetization_curve!J9,Initial_magnetization_curve!M9,Initial_magnetization_curve!P9)</f>
      </c>
      <c r="B6" s="15">
        <f>STDEV(Initial_magnetization_curve!B9,Initial_magnetization_curve!E9,Initial_magnetization_curve!H9)/AVERAGE(Initial_magnetization_curve!B9,Initial_magnetization_curve!E9,Initial_magnetization_curve!H9)*100</f>
      </c>
      <c r="C6" s="15">
        <f>STDEV(Initial_magnetization_curve!K9,Initial_magnetization_curve!N9,Initial_magnetization_curve!Q9)/AVERAGE(Initial_magnetization_curve!K9,Initial_magnetization_curve!N9,Initial_magnetization_curve!Q9)*100</f>
      </c>
      <c r="D6" s="11">
        <f>AVERAGE(Initial_magnetization_curve!D9,Initial_magnetization_curve!G9,Initial_magnetization_curve!J9,Initial_magnetization_curve!M9,Initial_magnetization_curve!P9,A6)</f>
      </c>
      <c r="E6" s="12">
        <f>STDEV(Initial_magnetization_curve!B9,Initial_magnetization_curve!E9,Initial_magnetization_curve!H9,Initial_magnetization_curve!K9,Initial_magnetization_curve!N9,Initial_magnetization_curve!Q9)/AVERAGE(Initial_magnetization_curve!B9,Initial_magnetization_curve!E9,Initial_magnetization_curve!H9,Initial_magnetization_curve!K9,Initial_magnetization_curve!N9,Initial_magnetization_curve!Q9)*100</f>
      </c>
      <c r="F6" s="11">
        <f>AVERAGE(Initial_magnetization_curve!A50,Initial_magnetization_curve!D50,Initial_magnetization_curve!G50,Initial_magnetization_curve!J50,Initial_magnetization_curve!M50,Initial_magnetization_curve!P50)</f>
      </c>
      <c r="G6" s="12">
        <f>STDEV(Initial_magnetization_curve!E50,Initial_magnetization_curve!N50)/AVERAGE(Initial_magnetization_curve!E50,Initial_magnetization_curve!N50)*100</f>
      </c>
      <c r="H6" s="11">
        <f>AVERAGE(Initial_magnetization_curve!A91,Initial_magnetization_curve!D91,Initial_magnetization_curve!G91,Initial_magnetization_curve!J91,Initial_magnetization_curve!M91,Initial_magnetization_curve!P91)</f>
      </c>
      <c r="I6" s="12">
        <f>STDEV(Initial_magnetization_curve!E91,Initial_magnetization_curve!N91)/AVERAGE(Initial_magnetization_curve!E91,Initial_magnetization_curve!N91)*100</f>
      </c>
      <c r="J6" s="16">
        <f>AVERAGE(Initial_magnetization_curve!D9,Initial_magnetization_curve!G9,Initial_magnetization_curve!J9,Initial_magnetization_curve!M9,Initial_magnetization_curve!P9,A6,Initial_magnetization_curve!D50,Initial_magnetization_curve!M50,Initial_magnetization_curve!D91,Initial_magnetization_curve!M91)</f>
      </c>
      <c r="K6" s="17">
        <f>STDEV(Initial_magnetization_curve!B9,Initial_magnetization_curve!E9,Initial_magnetization_curve!H9,Initial_magnetization_curve!K9,Initial_magnetization_curve!N9,Initial_magnetization_curve!Q9,Initial_magnetization_curve!E50,Initial_magnetization_curve!N50,Initial_magnetization_curve!E91,Initial_magnetization_curve!N91)/AVERAGE(Initial_magnetization_curve!B9,Initial_magnetization_curve!E9,Initial_magnetization_curve!H9,Initial_magnetization_curve!K9,Initial_magnetization_curve!N9,Initial_magnetization_curve!Q9,Initial_magnetization_curve!E50,Initial_magnetization_curve!N50,Initial_magnetization_curve!E91,Initial_magnetization_curve!N91)*100</f>
      </c>
    </row>
    <row x14ac:dyDescent="0.25" r="7" customHeight="1" ht="17.25">
      <c r="A7" s="11">
        <f>AVERAGE(Initial_magnetization_curve!A10,Initial_magnetization_curve!D10,Initial_magnetization_curve!G10,Initial_magnetization_curve!J10,Initial_magnetization_curve!M10,Initial_magnetization_curve!P10)</f>
      </c>
      <c r="B7" s="15">
        <f>STDEV(Initial_magnetization_curve!B10,Initial_magnetization_curve!E10,Initial_magnetization_curve!H10)/AVERAGE(Initial_magnetization_curve!B10,Initial_magnetization_curve!E10,Initial_magnetization_curve!H10)*100</f>
      </c>
      <c r="C7" s="15">
        <f>STDEV(Initial_magnetization_curve!K10,Initial_magnetization_curve!N10,Initial_magnetization_curve!Q10)/AVERAGE(Initial_magnetization_curve!K10,Initial_magnetization_curve!N10,Initial_magnetization_curve!Q10)*100</f>
      </c>
      <c r="D7" s="11">
        <f>AVERAGE(Initial_magnetization_curve!D10,Initial_magnetization_curve!G10,Initial_magnetization_curve!J10,Initial_magnetization_curve!M10,Initial_magnetization_curve!P10,A7)</f>
      </c>
      <c r="E7" s="12">
        <f>STDEV(Initial_magnetization_curve!B10,Initial_magnetization_curve!E10,Initial_magnetization_curve!H10,Initial_magnetization_curve!K10,Initial_magnetization_curve!N10,Initial_magnetization_curve!Q10)/AVERAGE(Initial_magnetization_curve!B10,Initial_magnetization_curve!E10,Initial_magnetization_curve!H10,Initial_magnetization_curve!K10,Initial_magnetization_curve!N10,Initial_magnetization_curve!Q10)*100</f>
      </c>
      <c r="F7" s="11">
        <f>AVERAGE(Initial_magnetization_curve!A51,Initial_magnetization_curve!D51,Initial_magnetization_curve!G51,Initial_magnetization_curve!J51,Initial_magnetization_curve!M51,Initial_magnetization_curve!P51)</f>
      </c>
      <c r="G7" s="12">
        <f>STDEV(Initial_magnetization_curve!E51,Initial_magnetization_curve!N51)/AVERAGE(Initial_magnetization_curve!E51,Initial_magnetization_curve!N51)*100</f>
      </c>
      <c r="H7" s="11">
        <f>AVERAGE(Initial_magnetization_curve!A92,Initial_magnetization_curve!D92,Initial_magnetization_curve!G92,Initial_magnetization_curve!J92,Initial_magnetization_curve!M92,Initial_magnetization_curve!P92)</f>
      </c>
      <c r="I7" s="12">
        <f>STDEV(Initial_magnetization_curve!E92,Initial_magnetization_curve!N92)/AVERAGE(Initial_magnetization_curve!E92,Initial_magnetization_curve!N92)*100</f>
      </c>
      <c r="J7" s="16">
        <f>AVERAGE(Initial_magnetization_curve!D10,Initial_magnetization_curve!G10,Initial_magnetization_curve!J10,Initial_magnetization_curve!M10,Initial_magnetization_curve!P10,A7,Initial_magnetization_curve!D51,Initial_magnetization_curve!M51,Initial_magnetization_curve!D92,Initial_magnetization_curve!M92)</f>
      </c>
      <c r="K7" s="17">
        <f>STDEV(Initial_magnetization_curve!B10,Initial_magnetization_curve!E10,Initial_magnetization_curve!H10,Initial_magnetization_curve!K10,Initial_magnetization_curve!N10,Initial_magnetization_curve!Q10,Initial_magnetization_curve!E51,Initial_magnetization_curve!N51,Initial_magnetization_curve!E92,Initial_magnetization_curve!N92)/AVERAGE(Initial_magnetization_curve!B10,Initial_magnetization_curve!E10,Initial_magnetization_curve!H10,Initial_magnetization_curve!K10,Initial_magnetization_curve!N10,Initial_magnetization_curve!Q10,Initial_magnetization_curve!E51,Initial_magnetization_curve!N51,Initial_magnetization_curve!E92,Initial_magnetization_curve!N92)*100</f>
      </c>
    </row>
    <row x14ac:dyDescent="0.25" r="8" customHeight="1" ht="17.25">
      <c r="A8" s="11">
        <f>AVERAGE(Initial_magnetization_curve!A11,Initial_magnetization_curve!D11,Initial_magnetization_curve!G11,Initial_magnetization_curve!J11,Initial_magnetization_curve!M11,Initial_magnetization_curve!P11)</f>
      </c>
      <c r="B8" s="15">
        <f>STDEV(Initial_magnetization_curve!B11,Initial_magnetization_curve!E11,Initial_magnetization_curve!H11)/AVERAGE(Initial_magnetization_curve!B11,Initial_magnetization_curve!E11,Initial_magnetization_curve!H11)*100</f>
      </c>
      <c r="C8" s="15">
        <f>STDEV(Initial_magnetization_curve!K11,Initial_magnetization_curve!N11,Initial_magnetization_curve!Q11)/AVERAGE(Initial_magnetization_curve!K11,Initial_magnetization_curve!N11,Initial_magnetization_curve!Q11)*100</f>
      </c>
      <c r="D8" s="11">
        <f>AVERAGE(Initial_magnetization_curve!D11,Initial_magnetization_curve!G11,Initial_magnetization_curve!J11,Initial_magnetization_curve!M11,Initial_magnetization_curve!P11,A8)</f>
      </c>
      <c r="E8" s="12">
        <f>STDEV(Initial_magnetization_curve!B11,Initial_magnetization_curve!E11,Initial_magnetization_curve!H11,Initial_magnetization_curve!K11,Initial_magnetization_curve!N11,Initial_magnetization_curve!Q11)/AVERAGE(Initial_magnetization_curve!B11,Initial_magnetization_curve!E11,Initial_magnetization_curve!H11,Initial_magnetization_curve!K11,Initial_magnetization_curve!N11,Initial_magnetization_curve!Q11)*100</f>
      </c>
      <c r="F8" s="11">
        <f>AVERAGE(Initial_magnetization_curve!A52,Initial_magnetization_curve!D52,Initial_magnetization_curve!G52,Initial_magnetization_curve!J52,Initial_magnetization_curve!M52,Initial_magnetization_curve!P52)</f>
      </c>
      <c r="G8" s="12">
        <f>STDEV(Initial_magnetization_curve!E52,Initial_magnetization_curve!N52)/AVERAGE(Initial_magnetization_curve!E52,Initial_magnetization_curve!N52)*100</f>
      </c>
      <c r="H8" s="11">
        <f>AVERAGE(Initial_magnetization_curve!A93,Initial_magnetization_curve!D93,Initial_magnetization_curve!G93,Initial_magnetization_curve!J93,Initial_magnetization_curve!M93,Initial_magnetization_curve!P93)</f>
      </c>
      <c r="I8" s="12">
        <f>STDEV(Initial_magnetization_curve!E93,Initial_magnetization_curve!N93)/AVERAGE(Initial_magnetization_curve!E93,Initial_magnetization_curve!N93)*100</f>
      </c>
      <c r="J8" s="16">
        <f>AVERAGE(Initial_magnetization_curve!D11,Initial_magnetization_curve!G11,Initial_magnetization_curve!J11,Initial_magnetization_curve!M11,Initial_magnetization_curve!P11,A8,Initial_magnetization_curve!D52,Initial_magnetization_curve!M52,Initial_magnetization_curve!D93,Initial_magnetization_curve!M93)</f>
      </c>
      <c r="K8" s="17">
        <f>STDEV(Initial_magnetization_curve!B11,Initial_magnetization_curve!E11,Initial_magnetization_curve!H11,Initial_magnetization_curve!K11,Initial_magnetization_curve!N11,Initial_magnetization_curve!Q11,Initial_magnetization_curve!E52,Initial_magnetization_curve!N52,Initial_magnetization_curve!E93,Initial_magnetization_curve!N93)/AVERAGE(Initial_magnetization_curve!B11,Initial_magnetization_curve!E11,Initial_magnetization_curve!H11,Initial_magnetization_curve!K11,Initial_magnetization_curve!N11,Initial_magnetization_curve!Q11,Initial_magnetization_curve!E52,Initial_magnetization_curve!N52,Initial_magnetization_curve!E93,Initial_magnetization_curve!N93)*100</f>
      </c>
    </row>
    <row x14ac:dyDescent="0.25" r="9" customHeight="1" ht="17.25">
      <c r="A9" s="11">
        <f>AVERAGE(Initial_magnetization_curve!A12,Initial_magnetization_curve!D12,Initial_magnetization_curve!G12,Initial_magnetization_curve!J12,Initial_magnetization_curve!M12,Initial_magnetization_curve!P12)</f>
      </c>
      <c r="B9" s="15">
        <f>STDEV(Initial_magnetization_curve!B12,Initial_magnetization_curve!E12,Initial_magnetization_curve!H12)/AVERAGE(Initial_magnetization_curve!B12,Initial_magnetization_curve!E12,Initial_magnetization_curve!H12)*100</f>
      </c>
      <c r="C9" s="15">
        <f>STDEV(Initial_magnetization_curve!K12,Initial_magnetization_curve!N12,Initial_magnetization_curve!Q12)/AVERAGE(Initial_magnetization_curve!K12,Initial_magnetization_curve!N12,Initial_magnetization_curve!Q12)*100</f>
      </c>
      <c r="D9" s="11">
        <f>AVERAGE(Initial_magnetization_curve!D12,Initial_magnetization_curve!G12,Initial_magnetization_curve!J12,Initial_magnetization_curve!M12,Initial_magnetization_curve!P12,A9)</f>
      </c>
      <c r="E9" s="12">
        <f>STDEV(Initial_magnetization_curve!B12,Initial_magnetization_curve!E12,Initial_magnetization_curve!H12,Initial_magnetization_curve!K12,Initial_magnetization_curve!N12,Initial_magnetization_curve!Q12)/AVERAGE(Initial_magnetization_curve!B12,Initial_magnetization_curve!E12,Initial_magnetization_curve!H12,Initial_magnetization_curve!K12,Initial_magnetization_curve!N12,Initial_magnetization_curve!Q12)*100</f>
      </c>
      <c r="F9" s="11">
        <f>AVERAGE(Initial_magnetization_curve!A53,Initial_magnetization_curve!D53,Initial_magnetization_curve!G53,Initial_magnetization_curve!J53,Initial_magnetization_curve!M53,Initial_magnetization_curve!P53)</f>
      </c>
      <c r="G9" s="12">
        <f>STDEV(Initial_magnetization_curve!E53,Initial_magnetization_curve!N53)/AVERAGE(Initial_magnetization_curve!E53,Initial_magnetization_curve!N53)*100</f>
      </c>
      <c r="H9" s="11">
        <f>AVERAGE(Initial_magnetization_curve!A94,Initial_magnetization_curve!D94,Initial_magnetization_curve!G94,Initial_magnetization_curve!J94,Initial_magnetization_curve!M94,Initial_magnetization_curve!P94)</f>
      </c>
      <c r="I9" s="12">
        <f>STDEV(Initial_magnetization_curve!E94,Initial_magnetization_curve!N94)/AVERAGE(Initial_magnetization_curve!E94,Initial_magnetization_curve!N94)*100</f>
      </c>
      <c r="J9" s="16">
        <f>AVERAGE(Initial_magnetization_curve!D12,Initial_magnetization_curve!G12,Initial_magnetization_curve!J12,Initial_magnetization_curve!M12,Initial_magnetization_curve!P12,A9,Initial_magnetization_curve!D53,Initial_magnetization_curve!M53,Initial_magnetization_curve!D94,Initial_magnetization_curve!M94)</f>
      </c>
      <c r="K9" s="17">
        <f>STDEV(Initial_magnetization_curve!B12,Initial_magnetization_curve!E12,Initial_magnetization_curve!H12,Initial_magnetization_curve!K12,Initial_magnetization_curve!N12,Initial_magnetization_curve!Q12,Initial_magnetization_curve!E53,Initial_magnetization_curve!N53,Initial_magnetization_curve!E94,Initial_magnetization_curve!N94)/AVERAGE(Initial_magnetization_curve!B12,Initial_magnetization_curve!E12,Initial_magnetization_curve!H12,Initial_magnetization_curve!K12,Initial_magnetization_curve!N12,Initial_magnetization_curve!Q12,Initial_magnetization_curve!E53,Initial_magnetization_curve!N53,Initial_magnetization_curve!E94,Initial_magnetization_curve!N94)*100</f>
      </c>
    </row>
    <row x14ac:dyDescent="0.25" r="10" customHeight="1" ht="17.25">
      <c r="A10" s="11">
        <f>AVERAGE(Initial_magnetization_curve!A13,Initial_magnetization_curve!D13,Initial_magnetization_curve!G13,Initial_magnetization_curve!J13,Initial_magnetization_curve!M13,Initial_magnetization_curve!P13)</f>
      </c>
      <c r="B10" s="15">
        <f>STDEV(Initial_magnetization_curve!B13,Initial_magnetization_curve!E13,Initial_magnetization_curve!H13)/AVERAGE(Initial_magnetization_curve!B13,Initial_magnetization_curve!E13,Initial_magnetization_curve!H13)*100</f>
      </c>
      <c r="C10" s="15">
        <f>STDEV(Initial_magnetization_curve!K13,Initial_magnetization_curve!N13,Initial_magnetization_curve!Q13)/AVERAGE(Initial_magnetization_curve!K13,Initial_magnetization_curve!N13,Initial_magnetization_curve!Q13)*100</f>
      </c>
      <c r="D10" s="11">
        <f>AVERAGE(Initial_magnetization_curve!D13,Initial_magnetization_curve!G13,Initial_magnetization_curve!J13,Initial_magnetization_curve!M13,Initial_magnetization_curve!P13,A10)</f>
      </c>
      <c r="E10" s="12">
        <f>STDEV(Initial_magnetization_curve!B13,Initial_magnetization_curve!E13,Initial_magnetization_curve!H13,Initial_magnetization_curve!K13,Initial_magnetization_curve!N13,Initial_magnetization_curve!Q13)/AVERAGE(Initial_magnetization_curve!B13,Initial_magnetization_curve!E13,Initial_magnetization_curve!H13,Initial_magnetization_curve!K13,Initial_magnetization_curve!N13,Initial_magnetization_curve!Q13)*100</f>
      </c>
      <c r="F10" s="11">
        <f>AVERAGE(Initial_magnetization_curve!A54,Initial_magnetization_curve!D54,Initial_magnetization_curve!G54,Initial_magnetization_curve!J54,Initial_magnetization_curve!M54,Initial_magnetization_curve!P54)</f>
      </c>
      <c r="G10" s="12">
        <f>STDEV(Initial_magnetization_curve!E54,Initial_magnetization_curve!N54)/AVERAGE(Initial_magnetization_curve!E54,Initial_magnetization_curve!N54)*100</f>
      </c>
      <c r="H10" s="11">
        <f>AVERAGE(Initial_magnetization_curve!A95,Initial_magnetization_curve!D95,Initial_magnetization_curve!G95,Initial_magnetization_curve!J95,Initial_magnetization_curve!M95,Initial_magnetization_curve!P95)</f>
      </c>
      <c r="I10" s="12">
        <f>STDEV(Initial_magnetization_curve!E95,Initial_magnetization_curve!N95)/AVERAGE(Initial_magnetization_curve!E95,Initial_magnetization_curve!N95)*100</f>
      </c>
      <c r="J10" s="16">
        <f>AVERAGE(Initial_magnetization_curve!D13,Initial_magnetization_curve!G13,Initial_magnetization_curve!J13,Initial_magnetization_curve!M13,Initial_magnetization_curve!P13,A10,Initial_magnetization_curve!D54,Initial_magnetization_curve!M54,Initial_magnetization_curve!D95,Initial_magnetization_curve!M95)</f>
      </c>
      <c r="K10" s="17">
        <f>STDEV(Initial_magnetization_curve!B13,Initial_magnetization_curve!E13,Initial_magnetization_curve!H13,Initial_magnetization_curve!K13,Initial_magnetization_curve!N13,Initial_magnetization_curve!Q13,Initial_magnetization_curve!E54,Initial_magnetization_curve!N54,Initial_magnetization_curve!E95,Initial_magnetization_curve!N95)/AVERAGE(Initial_magnetization_curve!B13,Initial_magnetization_curve!E13,Initial_magnetization_curve!H13,Initial_magnetization_curve!K13,Initial_magnetization_curve!N13,Initial_magnetization_curve!Q13,Initial_magnetization_curve!E54,Initial_magnetization_curve!N54,Initial_magnetization_curve!E95,Initial_magnetization_curve!N95)*100</f>
      </c>
    </row>
    <row x14ac:dyDescent="0.25" r="11" customHeight="1" ht="17.25">
      <c r="A11" s="11">
        <f>AVERAGE(Initial_magnetization_curve!A14,Initial_magnetization_curve!D14,Initial_magnetization_curve!G14,Initial_magnetization_curve!J14,Initial_magnetization_curve!M14,Initial_magnetization_curve!P14)</f>
      </c>
      <c r="B11" s="15">
        <f>STDEV(Initial_magnetization_curve!B14,Initial_magnetization_curve!E14,Initial_magnetization_curve!H14)/AVERAGE(Initial_magnetization_curve!B14,Initial_magnetization_curve!E14,Initial_magnetization_curve!H14)*100</f>
      </c>
      <c r="C11" s="15">
        <f>STDEV(Initial_magnetization_curve!K14,Initial_magnetization_curve!N14,Initial_magnetization_curve!Q14)/AVERAGE(Initial_magnetization_curve!K14,Initial_magnetization_curve!N14,Initial_magnetization_curve!Q14)*100</f>
      </c>
      <c r="D11" s="11">
        <f>AVERAGE(Initial_magnetization_curve!D14,Initial_magnetization_curve!G14,Initial_magnetization_curve!J14,Initial_magnetization_curve!M14,Initial_magnetization_curve!P14,A11)</f>
      </c>
      <c r="E11" s="12">
        <f>STDEV(Initial_magnetization_curve!B14,Initial_magnetization_curve!E14,Initial_magnetization_curve!H14,Initial_magnetization_curve!K14,Initial_magnetization_curve!N14,Initial_magnetization_curve!Q14)/AVERAGE(Initial_magnetization_curve!B14,Initial_magnetization_curve!E14,Initial_magnetization_curve!H14,Initial_magnetization_curve!K14,Initial_magnetization_curve!N14,Initial_magnetization_curve!Q14)*100</f>
      </c>
      <c r="F11" s="11">
        <f>AVERAGE(Initial_magnetization_curve!A55,Initial_magnetization_curve!D55,Initial_magnetization_curve!G55,Initial_magnetization_curve!J55,Initial_magnetization_curve!M55,Initial_magnetization_curve!P55)</f>
      </c>
      <c r="G11" s="12">
        <f>STDEV(Initial_magnetization_curve!E55,Initial_magnetization_curve!N55)/AVERAGE(Initial_magnetization_curve!E55,Initial_magnetization_curve!N55)*100</f>
      </c>
      <c r="H11" s="11">
        <f>AVERAGE(Initial_magnetization_curve!A96,Initial_magnetization_curve!D96,Initial_magnetization_curve!G96,Initial_magnetization_curve!J96,Initial_magnetization_curve!M96,Initial_magnetization_curve!P96)</f>
      </c>
      <c r="I11" s="12">
        <f>STDEV(Initial_magnetization_curve!E96,Initial_magnetization_curve!N96)/AVERAGE(Initial_magnetization_curve!E96,Initial_magnetization_curve!N96)*100</f>
      </c>
      <c r="J11" s="16">
        <f>AVERAGE(Initial_magnetization_curve!D14,Initial_magnetization_curve!G14,Initial_magnetization_curve!J14,Initial_magnetization_curve!M14,Initial_magnetization_curve!P14,A11,Initial_magnetization_curve!D55,Initial_magnetization_curve!M55,Initial_magnetization_curve!D96,Initial_magnetization_curve!M96)</f>
      </c>
      <c r="K11" s="17">
        <f>STDEV(Initial_magnetization_curve!B14,Initial_magnetization_curve!E14,Initial_magnetization_curve!H14,Initial_magnetization_curve!K14,Initial_magnetization_curve!N14,Initial_magnetization_curve!Q14,Initial_magnetization_curve!E55,Initial_magnetization_curve!N55,Initial_magnetization_curve!E96,Initial_magnetization_curve!N96)/AVERAGE(Initial_magnetization_curve!B14,Initial_magnetization_curve!E14,Initial_magnetization_curve!H14,Initial_magnetization_curve!K14,Initial_magnetization_curve!N14,Initial_magnetization_curve!Q14,Initial_magnetization_curve!E55,Initial_magnetization_curve!N55,Initial_magnetization_curve!E96,Initial_magnetization_curve!N96)*100</f>
      </c>
    </row>
    <row x14ac:dyDescent="0.25" r="12" customHeight="1" ht="17.25">
      <c r="A12" s="11">
        <f>AVERAGE(Initial_magnetization_curve!A15,Initial_magnetization_curve!D15,Initial_magnetization_curve!G15,Initial_magnetization_curve!J15,Initial_magnetization_curve!M15,Initial_magnetization_curve!P15)</f>
      </c>
      <c r="B12" s="15">
        <f>STDEV(Initial_magnetization_curve!B15,Initial_magnetization_curve!E15,Initial_magnetization_curve!H15)/AVERAGE(Initial_magnetization_curve!B15,Initial_magnetization_curve!E15,Initial_magnetization_curve!H15)*100</f>
      </c>
      <c r="C12" s="15">
        <f>STDEV(Initial_magnetization_curve!K15,Initial_magnetization_curve!N15,Initial_magnetization_curve!Q15)/AVERAGE(Initial_magnetization_curve!K15,Initial_magnetization_curve!N15,Initial_magnetization_curve!Q15)*100</f>
      </c>
      <c r="D12" s="11">
        <f>AVERAGE(Initial_magnetization_curve!D15,Initial_magnetization_curve!G15,Initial_magnetization_curve!J15,Initial_magnetization_curve!M15,Initial_magnetization_curve!P15,A12)</f>
      </c>
      <c r="E12" s="12">
        <f>STDEV(Initial_magnetization_curve!B15,Initial_magnetization_curve!E15,Initial_magnetization_curve!H15,Initial_magnetization_curve!K15,Initial_magnetization_curve!N15,Initial_magnetization_curve!Q15)/AVERAGE(Initial_magnetization_curve!B15,Initial_magnetization_curve!E15,Initial_magnetization_curve!H15,Initial_magnetization_curve!K15,Initial_magnetization_curve!N15,Initial_magnetization_curve!Q15)*100</f>
      </c>
      <c r="F12" s="11">
        <f>AVERAGE(Initial_magnetization_curve!A56,Initial_magnetization_curve!D56,Initial_magnetization_curve!G56,Initial_magnetization_curve!J56,Initial_magnetization_curve!M56,Initial_magnetization_curve!P56)</f>
      </c>
      <c r="G12" s="12">
        <f>STDEV(Initial_magnetization_curve!E56,Initial_magnetization_curve!N56)/AVERAGE(Initial_magnetization_curve!E56,Initial_magnetization_curve!N56)*100</f>
      </c>
      <c r="H12" s="11">
        <f>AVERAGE(Initial_magnetization_curve!A97,Initial_magnetization_curve!D97,Initial_magnetization_curve!G97,Initial_magnetization_curve!J97,Initial_magnetization_curve!M97,Initial_magnetization_curve!P97)</f>
      </c>
      <c r="I12" s="12">
        <f>STDEV(Initial_magnetization_curve!E97,Initial_magnetization_curve!N97)/AVERAGE(Initial_magnetization_curve!E97,Initial_magnetization_curve!N97)*100</f>
      </c>
      <c r="J12" s="16">
        <f>AVERAGE(Initial_magnetization_curve!D15,Initial_magnetization_curve!G15,Initial_magnetization_curve!J15,Initial_magnetization_curve!M15,Initial_magnetization_curve!P15,A12,Initial_magnetization_curve!D56,Initial_magnetization_curve!M56,Initial_magnetization_curve!D97,Initial_magnetization_curve!M97)</f>
      </c>
      <c r="K12" s="17">
        <f>STDEV(Initial_magnetization_curve!B15,Initial_magnetization_curve!E15,Initial_magnetization_curve!H15,Initial_magnetization_curve!K15,Initial_magnetization_curve!N15,Initial_magnetization_curve!Q15,Initial_magnetization_curve!E56,Initial_magnetization_curve!N56,Initial_magnetization_curve!E97,Initial_magnetization_curve!N97)/AVERAGE(Initial_magnetization_curve!B15,Initial_magnetization_curve!E15,Initial_magnetization_curve!H15,Initial_magnetization_curve!K15,Initial_magnetization_curve!N15,Initial_magnetization_curve!Q15,Initial_magnetization_curve!E56,Initial_magnetization_curve!N56,Initial_magnetization_curve!E97,Initial_magnetization_curve!N97)*100</f>
      </c>
    </row>
    <row x14ac:dyDescent="0.25" r="13" customHeight="1" ht="17.25">
      <c r="A13" s="11">
        <f>AVERAGE(Initial_magnetization_curve!A16,Initial_magnetization_curve!D16,Initial_magnetization_curve!G16,Initial_magnetization_curve!J16,Initial_magnetization_curve!M16,Initial_magnetization_curve!P16)</f>
      </c>
      <c r="B13" s="15">
        <f>STDEV(Initial_magnetization_curve!B16,Initial_magnetization_curve!E16,Initial_magnetization_curve!H16)/AVERAGE(Initial_magnetization_curve!B16,Initial_magnetization_curve!E16,Initial_magnetization_curve!H16)*100</f>
      </c>
      <c r="C13" s="15">
        <f>STDEV(Initial_magnetization_curve!K16,Initial_magnetization_curve!N16,Initial_magnetization_curve!Q16)/AVERAGE(Initial_magnetization_curve!K16,Initial_magnetization_curve!N16,Initial_magnetization_curve!Q16)*100</f>
      </c>
      <c r="D13" s="11">
        <f>AVERAGE(Initial_magnetization_curve!D16,Initial_magnetization_curve!G16,Initial_magnetization_curve!J16,Initial_magnetization_curve!M16,Initial_magnetization_curve!P16,A13)</f>
      </c>
      <c r="E13" s="12">
        <f>STDEV(Initial_magnetization_curve!B16,Initial_magnetization_curve!E16,Initial_magnetization_curve!H16,Initial_magnetization_curve!K16,Initial_magnetization_curve!N16,Initial_magnetization_curve!Q16)/AVERAGE(Initial_magnetization_curve!B16,Initial_magnetization_curve!E16,Initial_magnetization_curve!H16,Initial_magnetization_curve!K16,Initial_magnetization_curve!N16,Initial_magnetization_curve!Q16)*100</f>
      </c>
      <c r="F13" s="11">
        <f>AVERAGE(Initial_magnetization_curve!A57,Initial_magnetization_curve!D57,Initial_magnetization_curve!G57,Initial_magnetization_curve!J57,Initial_magnetization_curve!M57,Initial_magnetization_curve!P57)</f>
      </c>
      <c r="G13" s="12">
        <f>STDEV(Initial_magnetization_curve!E57,Initial_magnetization_curve!N57)/AVERAGE(Initial_magnetization_curve!E57,Initial_magnetization_curve!N57)*100</f>
      </c>
      <c r="H13" s="11">
        <f>AVERAGE(Initial_magnetization_curve!A98,Initial_magnetization_curve!D98,Initial_magnetization_curve!G98,Initial_magnetization_curve!J98,Initial_magnetization_curve!M98,Initial_magnetization_curve!P98)</f>
      </c>
      <c r="I13" s="12">
        <f>STDEV(Initial_magnetization_curve!E98,Initial_magnetization_curve!N98)/AVERAGE(Initial_magnetization_curve!E98,Initial_magnetization_curve!N98)*100</f>
      </c>
      <c r="J13" s="16">
        <f>AVERAGE(Initial_magnetization_curve!D16,Initial_magnetization_curve!G16,Initial_magnetization_curve!J16,Initial_magnetization_curve!M16,Initial_magnetization_curve!P16,A13,Initial_magnetization_curve!D57,Initial_magnetization_curve!M57,Initial_magnetization_curve!D98,Initial_magnetization_curve!M98)</f>
      </c>
      <c r="K13" s="17">
        <f>STDEV(Initial_magnetization_curve!B16,Initial_magnetization_curve!E16,Initial_magnetization_curve!H16,Initial_magnetization_curve!K16,Initial_magnetization_curve!N16,Initial_magnetization_curve!Q16,Initial_magnetization_curve!E57,Initial_magnetization_curve!N57,Initial_magnetization_curve!E98,Initial_magnetization_curve!N98)/AVERAGE(Initial_magnetization_curve!B16,Initial_magnetization_curve!E16,Initial_magnetization_curve!H16,Initial_magnetization_curve!K16,Initial_magnetization_curve!N16,Initial_magnetization_curve!Q16,Initial_magnetization_curve!E57,Initial_magnetization_curve!N57,Initial_magnetization_curve!E98,Initial_magnetization_curve!N98)*100</f>
      </c>
    </row>
    <row x14ac:dyDescent="0.25" r="14" customHeight="1" ht="17.25">
      <c r="A14" s="11">
        <f>AVERAGE(Initial_magnetization_curve!A17,Initial_magnetization_curve!D17,Initial_magnetization_curve!G17,Initial_magnetization_curve!J17,Initial_magnetization_curve!M17,Initial_magnetization_curve!P17)</f>
      </c>
      <c r="B14" s="15">
        <f>STDEV(Initial_magnetization_curve!B17,Initial_magnetization_curve!E17,Initial_magnetization_curve!H17)/AVERAGE(Initial_magnetization_curve!B17,Initial_magnetization_curve!E17,Initial_magnetization_curve!H17)*100</f>
      </c>
      <c r="C14" s="15">
        <f>STDEV(Initial_magnetization_curve!K17,Initial_magnetization_curve!N17,Initial_magnetization_curve!Q17)/AVERAGE(Initial_magnetization_curve!K17,Initial_magnetization_curve!N17,Initial_magnetization_curve!Q17)*100</f>
      </c>
      <c r="D14" s="11">
        <f>AVERAGE(Initial_magnetization_curve!D17,Initial_magnetization_curve!G17,Initial_magnetization_curve!J17,Initial_magnetization_curve!M17,Initial_magnetization_curve!P17,A14)</f>
      </c>
      <c r="E14" s="12">
        <f>STDEV(Initial_magnetization_curve!B17,Initial_magnetization_curve!E17,Initial_magnetization_curve!H17,Initial_magnetization_curve!K17,Initial_magnetization_curve!N17,Initial_magnetization_curve!Q17)/AVERAGE(Initial_magnetization_curve!B17,Initial_magnetization_curve!E17,Initial_magnetization_curve!H17,Initial_magnetization_curve!K17,Initial_magnetization_curve!N17,Initial_magnetization_curve!Q17)*100</f>
      </c>
      <c r="F14" s="11">
        <f>AVERAGE(Initial_magnetization_curve!A58,Initial_magnetization_curve!D58,Initial_magnetization_curve!G58,Initial_magnetization_curve!J58,Initial_magnetization_curve!M58,Initial_magnetization_curve!P58)</f>
      </c>
      <c r="G14" s="12">
        <f>STDEV(Initial_magnetization_curve!E58,Initial_magnetization_curve!N58)/AVERAGE(Initial_magnetization_curve!E58,Initial_magnetization_curve!N58)*100</f>
      </c>
      <c r="H14" s="11">
        <f>AVERAGE(Initial_magnetization_curve!A99,Initial_magnetization_curve!D99,Initial_magnetization_curve!G99,Initial_magnetization_curve!J99,Initial_magnetization_curve!M99,Initial_magnetization_curve!P99)</f>
      </c>
      <c r="I14" s="12">
        <f>STDEV(Initial_magnetization_curve!E99,Initial_magnetization_curve!N99)/AVERAGE(Initial_magnetization_curve!E99,Initial_magnetization_curve!N99)*100</f>
      </c>
      <c r="J14" s="16">
        <f>AVERAGE(Initial_magnetization_curve!D17,Initial_magnetization_curve!G17,Initial_magnetization_curve!J17,Initial_magnetization_curve!M17,Initial_magnetization_curve!P17,A14,Initial_magnetization_curve!D58,Initial_magnetization_curve!M58,Initial_magnetization_curve!D99,Initial_magnetization_curve!M99)</f>
      </c>
      <c r="K14" s="17">
        <f>STDEV(Initial_magnetization_curve!B17,Initial_magnetization_curve!E17,Initial_magnetization_curve!H17,Initial_magnetization_curve!K17,Initial_magnetization_curve!N17,Initial_magnetization_curve!Q17,Initial_magnetization_curve!E58,Initial_magnetization_curve!N58,Initial_magnetization_curve!E99,Initial_magnetization_curve!N99)/AVERAGE(Initial_magnetization_curve!B17,Initial_magnetization_curve!E17,Initial_magnetization_curve!H17,Initial_magnetization_curve!K17,Initial_magnetization_curve!N17,Initial_magnetization_curve!Q17,Initial_magnetization_curve!E58,Initial_magnetization_curve!N58,Initial_magnetization_curve!E99,Initial_magnetization_curve!N99)*100</f>
      </c>
    </row>
    <row x14ac:dyDescent="0.25" r="15" customHeight="1" ht="17.25">
      <c r="A15" s="11">
        <f>AVERAGE(Initial_magnetization_curve!A18,Initial_magnetization_curve!D18,Initial_magnetization_curve!G18,Initial_magnetization_curve!J18,Initial_magnetization_curve!M18,Initial_magnetization_curve!P18)</f>
      </c>
      <c r="B15" s="15">
        <f>STDEV(Initial_magnetization_curve!B18,Initial_magnetization_curve!E18,Initial_magnetization_curve!H18)/AVERAGE(Initial_magnetization_curve!B18,Initial_magnetization_curve!E18,Initial_magnetization_curve!H18)*100</f>
      </c>
      <c r="C15" s="15">
        <f>STDEV(Initial_magnetization_curve!K18,Initial_magnetization_curve!N18,Initial_magnetization_curve!Q18)/AVERAGE(Initial_magnetization_curve!K18,Initial_magnetization_curve!N18,Initial_magnetization_curve!Q18)*100</f>
      </c>
      <c r="D15" s="11">
        <f>AVERAGE(Initial_magnetization_curve!D18,Initial_magnetization_curve!G18,Initial_magnetization_curve!J18,Initial_magnetization_curve!M18,Initial_magnetization_curve!P18,A15)</f>
      </c>
      <c r="E15" s="12">
        <f>STDEV(Initial_magnetization_curve!B18,Initial_magnetization_curve!E18,Initial_magnetization_curve!H18,Initial_magnetization_curve!K18,Initial_magnetization_curve!N18,Initial_magnetization_curve!Q18)/AVERAGE(Initial_magnetization_curve!B18,Initial_magnetization_curve!E18,Initial_magnetization_curve!H18,Initial_magnetization_curve!K18,Initial_magnetization_curve!N18,Initial_magnetization_curve!Q18)*100</f>
      </c>
      <c r="F15" s="11">
        <f>AVERAGE(Initial_magnetization_curve!A59,Initial_magnetization_curve!D59,Initial_magnetization_curve!G59,Initial_magnetization_curve!J59,Initial_magnetization_curve!M59,Initial_magnetization_curve!P59)</f>
      </c>
      <c r="G15" s="12">
        <f>STDEV(Initial_magnetization_curve!E59,Initial_magnetization_curve!N59)/AVERAGE(Initial_magnetization_curve!E59,Initial_magnetization_curve!N59)*100</f>
      </c>
      <c r="H15" s="11">
        <f>AVERAGE(Initial_magnetization_curve!A100,Initial_magnetization_curve!D100,Initial_magnetization_curve!G100,Initial_magnetization_curve!J100,Initial_magnetization_curve!M100,Initial_magnetization_curve!P100)</f>
      </c>
      <c r="I15" s="12">
        <f>STDEV(Initial_magnetization_curve!E100,Initial_magnetization_curve!N100)/AVERAGE(Initial_magnetization_curve!E100,Initial_magnetization_curve!N100)*100</f>
      </c>
      <c r="J15" s="16">
        <f>AVERAGE(Initial_magnetization_curve!D18,Initial_magnetization_curve!G18,Initial_magnetization_curve!J18,Initial_magnetization_curve!M18,Initial_magnetization_curve!P18,A15,Initial_magnetization_curve!D59,Initial_magnetization_curve!M59,Initial_magnetization_curve!D100,Initial_magnetization_curve!M100)</f>
      </c>
      <c r="K15" s="17">
        <f>STDEV(Initial_magnetization_curve!B18,Initial_magnetization_curve!E18,Initial_magnetization_curve!H18,Initial_magnetization_curve!K18,Initial_magnetization_curve!N18,Initial_magnetization_curve!Q18,Initial_magnetization_curve!E59,Initial_magnetization_curve!N59,Initial_magnetization_curve!E100,Initial_magnetization_curve!N100)/AVERAGE(Initial_magnetization_curve!B18,Initial_magnetization_curve!E18,Initial_magnetization_curve!H18,Initial_magnetization_curve!K18,Initial_magnetization_curve!N18,Initial_magnetization_curve!Q18,Initial_magnetization_curve!E59,Initial_magnetization_curve!N59,Initial_magnetization_curve!E100,Initial_magnetization_curve!N100)*100</f>
      </c>
    </row>
    <row x14ac:dyDescent="0.25" r="16" customHeight="1" ht="17.25">
      <c r="A16" s="11">
        <f>AVERAGE(Initial_magnetization_curve!A19,Initial_magnetization_curve!D19,Initial_magnetization_curve!G19,Initial_magnetization_curve!J19,Initial_magnetization_curve!M19,Initial_magnetization_curve!P19)</f>
      </c>
      <c r="B16" s="15">
        <f>STDEV(Initial_magnetization_curve!B19,Initial_magnetization_curve!E19,Initial_magnetization_curve!H19)/AVERAGE(Initial_magnetization_curve!B19,Initial_magnetization_curve!E19,Initial_magnetization_curve!H19)*100</f>
      </c>
      <c r="C16" s="15">
        <f>STDEV(Initial_magnetization_curve!K19,Initial_magnetization_curve!N19,Initial_magnetization_curve!Q19)/AVERAGE(Initial_magnetization_curve!K19,Initial_magnetization_curve!N19,Initial_magnetization_curve!Q19)*100</f>
      </c>
      <c r="D16" s="11">
        <f>AVERAGE(Initial_magnetization_curve!D19,Initial_magnetization_curve!G19,Initial_magnetization_curve!J19,Initial_magnetization_curve!M19,Initial_magnetization_curve!P19,A16)</f>
      </c>
      <c r="E16" s="12">
        <f>STDEV(Initial_magnetization_curve!B19,Initial_magnetization_curve!E19,Initial_magnetization_curve!H19,Initial_magnetization_curve!K19,Initial_magnetization_curve!N19,Initial_magnetization_curve!Q19)/AVERAGE(Initial_magnetization_curve!B19,Initial_magnetization_curve!E19,Initial_magnetization_curve!H19,Initial_magnetization_curve!K19,Initial_magnetization_curve!N19,Initial_magnetization_curve!Q19)*100</f>
      </c>
      <c r="F16" s="11">
        <f>AVERAGE(Initial_magnetization_curve!A60,Initial_magnetization_curve!D60,Initial_magnetization_curve!G60,Initial_magnetization_curve!J60,Initial_magnetization_curve!M60,Initial_magnetization_curve!P60)</f>
      </c>
      <c r="G16" s="12">
        <f>STDEV(Initial_magnetization_curve!E60,Initial_magnetization_curve!N60)/AVERAGE(Initial_magnetization_curve!E60,Initial_magnetization_curve!N60)*100</f>
      </c>
      <c r="H16" s="11">
        <f>AVERAGE(Initial_magnetization_curve!A101,Initial_magnetization_curve!D101,Initial_magnetization_curve!G101,Initial_magnetization_curve!J101,Initial_magnetization_curve!M101,Initial_magnetization_curve!P101)</f>
      </c>
      <c r="I16" s="12">
        <f>STDEV(Initial_magnetization_curve!E101,Initial_magnetization_curve!N101)/AVERAGE(Initial_magnetization_curve!E101,Initial_magnetization_curve!N101)*100</f>
      </c>
      <c r="J16" s="16">
        <f>AVERAGE(Initial_magnetization_curve!D19,Initial_magnetization_curve!G19,Initial_magnetization_curve!J19,Initial_magnetization_curve!M19,Initial_magnetization_curve!P19,A16,Initial_magnetization_curve!D60,Initial_magnetization_curve!M60,Initial_magnetization_curve!D101,Initial_magnetization_curve!M101)</f>
      </c>
      <c r="K16" s="17">
        <f>STDEV(Initial_magnetization_curve!B19,Initial_magnetization_curve!E19,Initial_magnetization_curve!H19,Initial_magnetization_curve!K19,Initial_magnetization_curve!N19,Initial_magnetization_curve!Q19,Initial_magnetization_curve!E60,Initial_magnetization_curve!N60,Initial_magnetization_curve!E101,Initial_magnetization_curve!N101)/AVERAGE(Initial_magnetization_curve!B19,Initial_magnetization_curve!E19,Initial_magnetization_curve!H19,Initial_magnetization_curve!K19,Initial_magnetization_curve!N19,Initial_magnetization_curve!Q19,Initial_magnetization_curve!E60,Initial_magnetization_curve!N60,Initial_magnetization_curve!E101,Initial_magnetization_curve!N101)*100</f>
      </c>
    </row>
    <row x14ac:dyDescent="0.25" r="17" customHeight="1" ht="17.25">
      <c r="A17" s="11">
        <f>AVERAGE(Initial_magnetization_curve!A20,Initial_magnetization_curve!D20,Initial_magnetization_curve!G20,Initial_magnetization_curve!J20,Initial_magnetization_curve!M20,Initial_magnetization_curve!P20)</f>
      </c>
      <c r="B17" s="15">
        <f>STDEV(Initial_magnetization_curve!B20,Initial_magnetization_curve!E20,Initial_magnetization_curve!H20)/AVERAGE(Initial_magnetization_curve!B20,Initial_magnetization_curve!E20,Initial_magnetization_curve!H20)*100</f>
      </c>
      <c r="C17" s="15">
        <f>STDEV(Initial_magnetization_curve!K20,Initial_magnetization_curve!N20,Initial_magnetization_curve!Q20)/AVERAGE(Initial_magnetization_curve!K20,Initial_magnetization_curve!N20,Initial_magnetization_curve!Q20)*100</f>
      </c>
      <c r="D17" s="11">
        <f>AVERAGE(Initial_magnetization_curve!D20,Initial_magnetization_curve!G20,Initial_magnetization_curve!J20,Initial_magnetization_curve!M20,Initial_magnetization_curve!P20,A17)</f>
      </c>
      <c r="E17" s="12">
        <f>STDEV(Initial_magnetization_curve!B20,Initial_magnetization_curve!E20,Initial_magnetization_curve!H20,Initial_magnetization_curve!K20,Initial_magnetization_curve!N20,Initial_magnetization_curve!Q20)/AVERAGE(Initial_magnetization_curve!B20,Initial_magnetization_curve!E20,Initial_magnetization_curve!H20,Initial_magnetization_curve!K20,Initial_magnetization_curve!N20,Initial_magnetization_curve!Q20)*100</f>
      </c>
      <c r="F17" s="11">
        <f>AVERAGE(Initial_magnetization_curve!A61,Initial_magnetization_curve!D61,Initial_magnetization_curve!G61,Initial_magnetization_curve!J61,Initial_magnetization_curve!M61,Initial_magnetization_curve!P61)</f>
      </c>
      <c r="G17" s="12">
        <f>STDEV(Initial_magnetization_curve!E61,Initial_magnetization_curve!N61)/AVERAGE(Initial_magnetization_curve!E61,Initial_magnetization_curve!N61)*100</f>
      </c>
      <c r="H17" s="11">
        <f>AVERAGE(Initial_magnetization_curve!A102,Initial_magnetization_curve!D102,Initial_magnetization_curve!G102,Initial_magnetization_curve!J102,Initial_magnetization_curve!M102,Initial_magnetization_curve!P102)</f>
      </c>
      <c r="I17" s="12">
        <f>STDEV(Initial_magnetization_curve!E102,Initial_magnetization_curve!N102)/AVERAGE(Initial_magnetization_curve!E102,Initial_magnetization_curve!N102)*100</f>
      </c>
      <c r="J17" s="16">
        <f>AVERAGE(Initial_magnetization_curve!D20,Initial_magnetization_curve!G20,Initial_magnetization_curve!J20,Initial_magnetization_curve!M20,Initial_magnetization_curve!P20,A17,Initial_magnetization_curve!D61,Initial_magnetization_curve!M61,Initial_magnetization_curve!D102,Initial_magnetization_curve!M102)</f>
      </c>
      <c r="K17" s="17">
        <f>STDEV(Initial_magnetization_curve!B20,Initial_magnetization_curve!E20,Initial_magnetization_curve!H20,Initial_magnetization_curve!K20,Initial_magnetization_curve!N20,Initial_magnetization_curve!Q20,Initial_magnetization_curve!E61,Initial_magnetization_curve!N61,Initial_magnetization_curve!E102,Initial_magnetization_curve!N102)/AVERAGE(Initial_magnetization_curve!B20,Initial_magnetization_curve!E20,Initial_magnetization_curve!H20,Initial_magnetization_curve!K20,Initial_magnetization_curve!N20,Initial_magnetization_curve!Q20,Initial_magnetization_curve!E61,Initial_magnetization_curve!N61,Initial_magnetization_curve!E102,Initial_magnetization_curve!N102)*100</f>
      </c>
    </row>
    <row x14ac:dyDescent="0.25" r="18" customHeight="1" ht="17.25">
      <c r="A18" s="11">
        <f>AVERAGE(Initial_magnetization_curve!A21,Initial_magnetization_curve!D21,Initial_magnetization_curve!G21,Initial_magnetization_curve!J21,Initial_magnetization_curve!M21,Initial_magnetization_curve!P21)</f>
      </c>
      <c r="B18" s="15">
        <f>STDEV(Initial_magnetization_curve!B21,Initial_magnetization_curve!E21,Initial_magnetization_curve!H21)/AVERAGE(Initial_magnetization_curve!B21,Initial_magnetization_curve!E21,Initial_magnetization_curve!H21)*100</f>
      </c>
      <c r="C18" s="15">
        <f>STDEV(Initial_magnetization_curve!K21,Initial_magnetization_curve!N21,Initial_magnetization_curve!Q21)/AVERAGE(Initial_magnetization_curve!K21,Initial_magnetization_curve!N21,Initial_magnetization_curve!Q21)*100</f>
      </c>
      <c r="D18" s="11">
        <f>AVERAGE(Initial_magnetization_curve!D21,Initial_magnetization_curve!G21,Initial_magnetization_curve!J21,Initial_magnetization_curve!M21,Initial_magnetization_curve!P21,A18)</f>
      </c>
      <c r="E18" s="12">
        <f>STDEV(Initial_magnetization_curve!B21,Initial_magnetization_curve!E21,Initial_magnetization_curve!H21,Initial_magnetization_curve!K21,Initial_magnetization_curve!N21,Initial_magnetization_curve!Q21)/AVERAGE(Initial_magnetization_curve!B21,Initial_magnetization_curve!E21,Initial_magnetization_curve!H21,Initial_magnetization_curve!K21,Initial_magnetization_curve!N21,Initial_magnetization_curve!Q21)*100</f>
      </c>
      <c r="F18" s="11">
        <f>AVERAGE(Initial_magnetization_curve!A62,Initial_magnetization_curve!D62,Initial_magnetization_curve!G62,Initial_magnetization_curve!J62,Initial_magnetization_curve!M62,Initial_magnetization_curve!P62)</f>
      </c>
      <c r="G18" s="12">
        <f>STDEV(Initial_magnetization_curve!E62,Initial_magnetization_curve!N62)/AVERAGE(Initial_magnetization_curve!E62,Initial_magnetization_curve!N62)*100</f>
      </c>
      <c r="H18" s="11">
        <f>AVERAGE(Initial_magnetization_curve!A103,Initial_magnetization_curve!D103,Initial_magnetization_curve!G103,Initial_magnetization_curve!J103,Initial_magnetization_curve!M103,Initial_magnetization_curve!P103)</f>
      </c>
      <c r="I18" s="12">
        <f>STDEV(Initial_magnetization_curve!E103,Initial_magnetization_curve!N103)/AVERAGE(Initial_magnetization_curve!E103,Initial_magnetization_curve!N103)*100</f>
      </c>
      <c r="J18" s="16">
        <f>AVERAGE(Initial_magnetization_curve!D21,Initial_magnetization_curve!G21,Initial_magnetization_curve!J21,Initial_magnetization_curve!M21,Initial_magnetization_curve!P21,A18,Initial_magnetization_curve!D62,Initial_magnetization_curve!M62,Initial_magnetization_curve!D103,Initial_magnetization_curve!M103)</f>
      </c>
      <c r="K18" s="17">
        <f>STDEV(Initial_magnetization_curve!B21,Initial_magnetization_curve!E21,Initial_magnetization_curve!H21,Initial_magnetization_curve!K21,Initial_magnetization_curve!N21,Initial_magnetization_curve!Q21,Initial_magnetization_curve!E62,Initial_magnetization_curve!N62,Initial_magnetization_curve!E103,Initial_magnetization_curve!N103)/AVERAGE(Initial_magnetization_curve!B21,Initial_magnetization_curve!E21,Initial_magnetization_curve!H21,Initial_magnetization_curve!K21,Initial_magnetization_curve!N21,Initial_magnetization_curve!Q21,Initial_magnetization_curve!E62,Initial_magnetization_curve!N62,Initial_magnetization_curve!E103,Initial_magnetization_curve!N103)*100</f>
      </c>
    </row>
    <row x14ac:dyDescent="0.25" r="19" customHeight="1" ht="17.25">
      <c r="A19" s="11">
        <f>AVERAGE(Initial_magnetization_curve!A22,Initial_magnetization_curve!D22,Initial_magnetization_curve!G22,Initial_magnetization_curve!J22,Initial_magnetization_curve!M22,Initial_magnetization_curve!P22)</f>
      </c>
      <c r="B19" s="15">
        <f>STDEV(Initial_magnetization_curve!B22,Initial_magnetization_curve!E22,Initial_magnetization_curve!H22)/AVERAGE(Initial_magnetization_curve!B22,Initial_magnetization_curve!E22,Initial_magnetization_curve!H22)*100</f>
      </c>
      <c r="C19" s="15">
        <f>STDEV(Initial_magnetization_curve!K22,Initial_magnetization_curve!N22,Initial_magnetization_curve!Q22)/AVERAGE(Initial_magnetization_curve!K22,Initial_magnetization_curve!N22,Initial_magnetization_curve!Q22)*100</f>
      </c>
      <c r="D19" s="11">
        <f>AVERAGE(Initial_magnetization_curve!D22,Initial_magnetization_curve!G22,Initial_magnetization_curve!J22,Initial_magnetization_curve!M22,Initial_magnetization_curve!P22,A19)</f>
      </c>
      <c r="E19" s="12">
        <f>STDEV(Initial_magnetization_curve!B22,Initial_magnetization_curve!E22,Initial_magnetization_curve!H22,Initial_magnetization_curve!K22,Initial_magnetization_curve!N22,Initial_magnetization_curve!Q22)/AVERAGE(Initial_magnetization_curve!B22,Initial_magnetization_curve!E22,Initial_magnetization_curve!H22,Initial_magnetization_curve!K22,Initial_magnetization_curve!N22,Initial_magnetization_curve!Q22)*100</f>
      </c>
      <c r="F19" s="11">
        <f>AVERAGE(Initial_magnetization_curve!A63,Initial_magnetization_curve!D63,Initial_magnetization_curve!G63,Initial_magnetization_curve!J63,Initial_magnetization_curve!M63,Initial_magnetization_curve!P63)</f>
      </c>
      <c r="G19" s="12">
        <f>STDEV(Initial_magnetization_curve!E63,Initial_magnetization_curve!N63)/AVERAGE(Initial_magnetization_curve!E63,Initial_magnetization_curve!N63)*100</f>
      </c>
      <c r="H19" s="11">
        <f>AVERAGE(Initial_magnetization_curve!A104,Initial_magnetization_curve!D104,Initial_magnetization_curve!G104,Initial_magnetization_curve!J104,Initial_magnetization_curve!M104,Initial_magnetization_curve!P104)</f>
      </c>
      <c r="I19" s="12">
        <f>STDEV(Initial_magnetization_curve!E104,Initial_magnetization_curve!N104)/AVERAGE(Initial_magnetization_curve!E104,Initial_magnetization_curve!N104)*100</f>
      </c>
      <c r="J19" s="16">
        <f>AVERAGE(Initial_magnetization_curve!D22,Initial_magnetization_curve!G22,Initial_magnetization_curve!J22,Initial_magnetization_curve!M22,Initial_magnetization_curve!P22,A19,Initial_magnetization_curve!D63,Initial_magnetization_curve!M63,Initial_magnetization_curve!D104,Initial_magnetization_curve!M104)</f>
      </c>
      <c r="K19" s="17">
        <f>STDEV(Initial_magnetization_curve!B22,Initial_magnetization_curve!E22,Initial_magnetization_curve!H22,Initial_magnetization_curve!K22,Initial_magnetization_curve!N22,Initial_magnetization_curve!Q22,Initial_magnetization_curve!E63,Initial_magnetization_curve!N63,Initial_magnetization_curve!E104,Initial_magnetization_curve!N104)/AVERAGE(Initial_magnetization_curve!B22,Initial_magnetization_curve!E22,Initial_magnetization_curve!H22,Initial_magnetization_curve!K22,Initial_magnetization_curve!N22,Initial_magnetization_curve!Q22,Initial_magnetization_curve!E63,Initial_magnetization_curve!N63,Initial_magnetization_curve!E104,Initial_magnetization_curve!N104)*100</f>
      </c>
    </row>
    <row x14ac:dyDescent="0.25" r="20" customHeight="1" ht="17.25">
      <c r="A20" s="11">
        <f>AVERAGE(Initial_magnetization_curve!A23,Initial_magnetization_curve!D23,Initial_magnetization_curve!G23,Initial_magnetization_curve!J23,Initial_magnetization_curve!M23,Initial_magnetization_curve!P23)</f>
      </c>
      <c r="B20" s="15">
        <f>STDEV(Initial_magnetization_curve!B23,Initial_magnetization_curve!E23,Initial_magnetization_curve!H23)/AVERAGE(Initial_magnetization_curve!B23,Initial_magnetization_curve!E23,Initial_magnetization_curve!H23)*100</f>
      </c>
      <c r="C20" s="15">
        <f>STDEV(Initial_magnetization_curve!K23,Initial_magnetization_curve!N23,Initial_magnetization_curve!Q23)/AVERAGE(Initial_magnetization_curve!K23,Initial_magnetization_curve!N23,Initial_magnetization_curve!Q23)*100</f>
      </c>
      <c r="D20" s="11">
        <f>AVERAGE(Initial_magnetization_curve!D23,Initial_magnetization_curve!G23,Initial_magnetization_curve!J23,Initial_magnetization_curve!M23,Initial_magnetization_curve!P23,A20)</f>
      </c>
      <c r="E20" s="12">
        <f>STDEV(Initial_magnetization_curve!B23,Initial_magnetization_curve!E23,Initial_magnetization_curve!H23,Initial_magnetization_curve!K23,Initial_magnetization_curve!N23,Initial_magnetization_curve!Q23)/AVERAGE(Initial_magnetization_curve!B23,Initial_magnetization_curve!E23,Initial_magnetization_curve!H23,Initial_magnetization_curve!K23,Initial_magnetization_curve!N23,Initial_magnetization_curve!Q23)*100</f>
      </c>
      <c r="F20" s="11">
        <f>AVERAGE(Initial_magnetization_curve!A64,Initial_magnetization_curve!D64,Initial_magnetization_curve!G64,Initial_magnetization_curve!J64,Initial_magnetization_curve!M64,Initial_magnetization_curve!P64)</f>
      </c>
      <c r="G20" s="12">
        <f>STDEV(Initial_magnetization_curve!E64,Initial_magnetization_curve!N64)/AVERAGE(Initial_magnetization_curve!E64,Initial_magnetization_curve!N64)*100</f>
      </c>
      <c r="H20" s="11">
        <f>AVERAGE(Initial_magnetization_curve!A105,Initial_magnetization_curve!D105,Initial_magnetization_curve!G105,Initial_magnetization_curve!J105,Initial_magnetization_curve!M105,Initial_magnetization_curve!P105)</f>
      </c>
      <c r="I20" s="12">
        <f>STDEV(Initial_magnetization_curve!E105,Initial_magnetization_curve!N105)/AVERAGE(Initial_magnetization_curve!E105,Initial_magnetization_curve!N105)*100</f>
      </c>
      <c r="J20" s="16">
        <f>AVERAGE(Initial_magnetization_curve!D23,Initial_magnetization_curve!G23,Initial_magnetization_curve!J23,Initial_magnetization_curve!M23,Initial_magnetization_curve!P23,A20,Initial_magnetization_curve!D64,Initial_magnetization_curve!M64,Initial_magnetization_curve!D105,Initial_magnetization_curve!M105)</f>
      </c>
      <c r="K20" s="17">
        <f>STDEV(Initial_magnetization_curve!B23,Initial_magnetization_curve!E23,Initial_magnetization_curve!H23,Initial_magnetization_curve!K23,Initial_magnetization_curve!N23,Initial_magnetization_curve!Q23,Initial_magnetization_curve!E64,Initial_magnetization_curve!N64,Initial_magnetization_curve!E105,Initial_magnetization_curve!N105)/AVERAGE(Initial_magnetization_curve!B23,Initial_magnetization_curve!E23,Initial_magnetization_curve!H23,Initial_magnetization_curve!K23,Initial_magnetization_curve!N23,Initial_magnetization_curve!Q23,Initial_magnetization_curve!E64,Initial_magnetization_curve!N64,Initial_magnetization_curve!E105,Initial_magnetization_curve!N105)*100</f>
      </c>
    </row>
    <row x14ac:dyDescent="0.25" r="21" customHeight="1" ht="17.25">
      <c r="A21" s="11">
        <f>AVERAGE(Initial_magnetization_curve!A24,Initial_magnetization_curve!D24,Initial_magnetization_curve!G24,Initial_magnetization_curve!J24,Initial_magnetization_curve!M24,Initial_magnetization_curve!P24)</f>
      </c>
      <c r="B21" s="15">
        <f>STDEV(Initial_magnetization_curve!B24,Initial_magnetization_curve!E24,Initial_magnetization_curve!H24)/AVERAGE(Initial_magnetization_curve!B24,Initial_magnetization_curve!E24,Initial_magnetization_curve!H24)*100</f>
      </c>
      <c r="C21" s="15">
        <f>STDEV(Initial_magnetization_curve!K24,Initial_magnetization_curve!N24,Initial_magnetization_curve!Q24)/AVERAGE(Initial_magnetization_curve!K24,Initial_magnetization_curve!N24,Initial_magnetization_curve!Q24)*100</f>
      </c>
      <c r="D21" s="11">
        <f>AVERAGE(Initial_magnetization_curve!D24,Initial_magnetization_curve!G24,Initial_magnetization_curve!J24,Initial_magnetization_curve!M24,Initial_magnetization_curve!P24,A21)</f>
      </c>
      <c r="E21" s="12">
        <f>STDEV(Initial_magnetization_curve!B24,Initial_magnetization_curve!E24,Initial_magnetization_curve!H24,Initial_magnetization_curve!K24,Initial_magnetization_curve!N24,Initial_magnetization_curve!Q24)/AVERAGE(Initial_magnetization_curve!B24,Initial_magnetization_curve!E24,Initial_magnetization_curve!H24,Initial_magnetization_curve!K24,Initial_magnetization_curve!N24,Initial_magnetization_curve!Q24)*100</f>
      </c>
      <c r="F21" s="11">
        <f>AVERAGE(Initial_magnetization_curve!A65,Initial_magnetization_curve!D65,Initial_magnetization_curve!G65,Initial_magnetization_curve!J65,Initial_magnetization_curve!M65,Initial_magnetization_curve!P65)</f>
      </c>
      <c r="G21" s="12">
        <f>STDEV(Initial_magnetization_curve!E65,Initial_magnetization_curve!N65)/AVERAGE(Initial_magnetization_curve!E65,Initial_magnetization_curve!N65)*100</f>
      </c>
      <c r="H21" s="11">
        <f>AVERAGE(Initial_magnetization_curve!A106,Initial_magnetization_curve!D106,Initial_magnetization_curve!G106,Initial_magnetization_curve!J106,Initial_magnetization_curve!M106,Initial_magnetization_curve!P106)</f>
      </c>
      <c r="I21" s="12">
        <f>STDEV(Initial_magnetization_curve!E106,Initial_magnetization_curve!N106)/AVERAGE(Initial_magnetization_curve!E106,Initial_magnetization_curve!N106)*100</f>
      </c>
      <c r="J21" s="16">
        <f>AVERAGE(Initial_magnetization_curve!D24,Initial_magnetization_curve!G24,Initial_magnetization_curve!J24,Initial_magnetization_curve!M24,Initial_magnetization_curve!P24,A21,Initial_magnetization_curve!D65,Initial_magnetization_curve!M65,Initial_magnetization_curve!D106,Initial_magnetization_curve!M106)</f>
      </c>
      <c r="K21" s="17">
        <f>STDEV(Initial_magnetization_curve!B24,Initial_magnetization_curve!E24,Initial_magnetization_curve!H24,Initial_magnetization_curve!K24,Initial_magnetization_curve!N24,Initial_magnetization_curve!Q24,Initial_magnetization_curve!E65,Initial_magnetization_curve!N65,Initial_magnetization_curve!E106,Initial_magnetization_curve!N106)/AVERAGE(Initial_magnetization_curve!B24,Initial_magnetization_curve!E24,Initial_magnetization_curve!H24,Initial_magnetization_curve!K24,Initial_magnetization_curve!N24,Initial_magnetization_curve!Q24,Initial_magnetization_curve!E65,Initial_magnetization_curve!N65,Initial_magnetization_curve!E106,Initial_magnetization_curve!N106)*100</f>
      </c>
    </row>
    <row x14ac:dyDescent="0.25" r="22" customHeight="1" ht="17.25">
      <c r="A22" s="11">
        <f>AVERAGE(Initial_magnetization_curve!A25,Initial_magnetization_curve!D25,Initial_magnetization_curve!G25,Initial_magnetization_curve!J25,Initial_magnetization_curve!M25,Initial_magnetization_curve!P25)</f>
      </c>
      <c r="B22" s="15">
        <f>STDEV(Initial_magnetization_curve!B25,Initial_magnetization_curve!E25,Initial_magnetization_curve!H25)/AVERAGE(Initial_magnetization_curve!B25,Initial_magnetization_curve!E25,Initial_magnetization_curve!H25)*100</f>
      </c>
      <c r="C22" s="15">
        <f>STDEV(Initial_magnetization_curve!K25,Initial_magnetization_curve!N25,Initial_magnetization_curve!Q25)/AVERAGE(Initial_magnetization_curve!K25,Initial_magnetization_curve!N25,Initial_magnetization_curve!Q25)*100</f>
      </c>
      <c r="D22" s="11">
        <f>AVERAGE(Initial_magnetization_curve!D25,Initial_magnetization_curve!G25,Initial_magnetization_curve!J25,Initial_magnetization_curve!M25,Initial_magnetization_curve!P25,A22)</f>
      </c>
      <c r="E22" s="12">
        <f>STDEV(Initial_magnetization_curve!B25,Initial_magnetization_curve!E25,Initial_magnetization_curve!H25,Initial_magnetization_curve!K25,Initial_magnetization_curve!N25,Initial_magnetization_curve!Q25)/AVERAGE(Initial_magnetization_curve!B25,Initial_magnetization_curve!E25,Initial_magnetization_curve!H25,Initial_magnetization_curve!K25,Initial_magnetization_curve!N25,Initial_magnetization_curve!Q25)*100</f>
      </c>
      <c r="F22" s="11">
        <f>AVERAGE(Initial_magnetization_curve!A66,Initial_magnetization_curve!D66,Initial_magnetization_curve!G66,Initial_magnetization_curve!J66,Initial_magnetization_curve!M66,Initial_magnetization_curve!P66)</f>
      </c>
      <c r="G22" s="12">
        <f>STDEV(Initial_magnetization_curve!E66,Initial_magnetization_curve!N66)/AVERAGE(Initial_magnetization_curve!E66,Initial_magnetization_curve!N66)*100</f>
      </c>
      <c r="H22" s="11">
        <f>AVERAGE(Initial_magnetization_curve!A107,Initial_magnetization_curve!D107,Initial_magnetization_curve!G107,Initial_magnetization_curve!J107,Initial_magnetization_curve!M107,Initial_magnetization_curve!P107)</f>
      </c>
      <c r="I22" s="12">
        <f>STDEV(Initial_magnetization_curve!E107,Initial_magnetization_curve!N107)/AVERAGE(Initial_magnetization_curve!E107,Initial_magnetization_curve!N107)*100</f>
      </c>
      <c r="J22" s="16">
        <f>AVERAGE(Initial_magnetization_curve!D25,Initial_magnetization_curve!G25,Initial_magnetization_curve!J25,Initial_magnetization_curve!M25,Initial_magnetization_curve!P25,A22,Initial_magnetization_curve!D66,Initial_magnetization_curve!M66,Initial_magnetization_curve!D107,Initial_magnetization_curve!M107)</f>
      </c>
      <c r="K22" s="17">
        <f>STDEV(Initial_magnetization_curve!B25,Initial_magnetization_curve!E25,Initial_magnetization_curve!H25,Initial_magnetization_curve!K25,Initial_magnetization_curve!N25,Initial_magnetization_curve!Q25,Initial_magnetization_curve!E66,Initial_magnetization_curve!N66,Initial_magnetization_curve!E107,Initial_magnetization_curve!N107)/AVERAGE(Initial_magnetization_curve!B25,Initial_magnetization_curve!E25,Initial_magnetization_curve!H25,Initial_magnetization_curve!K25,Initial_magnetization_curve!N25,Initial_magnetization_curve!Q25,Initial_magnetization_curve!E66,Initial_magnetization_curve!N66,Initial_magnetization_curve!E107,Initial_magnetization_curve!N107)*100</f>
      </c>
    </row>
    <row x14ac:dyDescent="0.25" r="23" customHeight="1" ht="17.25">
      <c r="A23" s="11">
        <f>AVERAGE(Initial_magnetization_curve!A26,Initial_magnetization_curve!D26,Initial_magnetization_curve!G26,Initial_magnetization_curve!J26,Initial_magnetization_curve!M26,Initial_magnetization_curve!P26)</f>
      </c>
      <c r="B23" s="15">
        <f>STDEV(Initial_magnetization_curve!B26,Initial_magnetization_curve!E26,Initial_magnetization_curve!H26)/AVERAGE(Initial_magnetization_curve!B26,Initial_magnetization_curve!E26,Initial_magnetization_curve!H26)*100</f>
      </c>
      <c r="C23" s="15">
        <f>STDEV(Initial_magnetization_curve!K26,Initial_magnetization_curve!N26,Initial_magnetization_curve!Q26)/AVERAGE(Initial_magnetization_curve!K26,Initial_magnetization_curve!N26,Initial_magnetization_curve!Q26)*100</f>
      </c>
      <c r="D23" s="11">
        <f>AVERAGE(Initial_magnetization_curve!D26,Initial_magnetization_curve!G26,Initial_magnetization_curve!J26,Initial_magnetization_curve!M26,Initial_magnetization_curve!P26,A23)</f>
      </c>
      <c r="E23" s="12">
        <f>STDEV(Initial_magnetization_curve!B26,Initial_magnetization_curve!E26,Initial_magnetization_curve!H26,Initial_magnetization_curve!K26,Initial_magnetization_curve!N26,Initial_magnetization_curve!Q26)/AVERAGE(Initial_magnetization_curve!B26,Initial_magnetization_curve!E26,Initial_magnetization_curve!H26,Initial_magnetization_curve!K26,Initial_magnetization_curve!N26,Initial_magnetization_curve!Q26)*100</f>
      </c>
      <c r="F23" s="11">
        <f>AVERAGE(Initial_magnetization_curve!A67,Initial_magnetization_curve!D67,Initial_magnetization_curve!G67,Initial_magnetization_curve!J67,Initial_magnetization_curve!M67,Initial_magnetization_curve!P67)</f>
      </c>
      <c r="G23" s="12">
        <f>STDEV(Initial_magnetization_curve!E67,Initial_magnetization_curve!N67)/AVERAGE(Initial_magnetization_curve!E67,Initial_magnetization_curve!N67)*100</f>
      </c>
      <c r="H23" s="11">
        <f>AVERAGE(Initial_magnetization_curve!A108,Initial_magnetization_curve!D108,Initial_magnetization_curve!G108,Initial_magnetization_curve!J108,Initial_magnetization_curve!M108,Initial_magnetization_curve!P108)</f>
      </c>
      <c r="I23" s="12">
        <f>STDEV(Initial_magnetization_curve!E108,Initial_magnetization_curve!N108)/AVERAGE(Initial_magnetization_curve!E108,Initial_magnetization_curve!N108)*100</f>
      </c>
      <c r="J23" s="16">
        <f>AVERAGE(Initial_magnetization_curve!D26,Initial_magnetization_curve!G26,Initial_magnetization_curve!J26,Initial_magnetization_curve!M26,Initial_magnetization_curve!P26,A23,Initial_magnetization_curve!D67,Initial_magnetization_curve!M67,Initial_magnetization_curve!D108,Initial_magnetization_curve!M108)</f>
      </c>
      <c r="K23" s="17">
        <f>STDEV(Initial_magnetization_curve!B26,Initial_magnetization_curve!E26,Initial_magnetization_curve!H26,Initial_magnetization_curve!K26,Initial_magnetization_curve!N26,Initial_magnetization_curve!Q26,Initial_magnetization_curve!E67,Initial_magnetization_curve!N67,Initial_magnetization_curve!E108,Initial_magnetization_curve!N108)/AVERAGE(Initial_magnetization_curve!B26,Initial_magnetization_curve!E26,Initial_magnetization_curve!H26,Initial_magnetization_curve!K26,Initial_magnetization_curve!N26,Initial_magnetization_curve!Q26,Initial_magnetization_curve!E67,Initial_magnetization_curve!N67,Initial_magnetization_curve!E108,Initial_magnetization_curve!N108)*100</f>
      </c>
    </row>
    <row x14ac:dyDescent="0.25" r="24" customHeight="1" ht="17.25">
      <c r="A24" s="11">
        <f>AVERAGE(Initial_magnetization_curve!A27,Initial_magnetization_curve!D27,Initial_magnetization_curve!G27,Initial_magnetization_curve!J27,Initial_magnetization_curve!M27,Initial_magnetization_curve!P27)</f>
      </c>
      <c r="B24" s="15">
        <f>STDEV(Initial_magnetization_curve!B27,Initial_magnetization_curve!E27,Initial_magnetization_curve!H27)/AVERAGE(Initial_magnetization_curve!B27,Initial_magnetization_curve!E27,Initial_magnetization_curve!H27)*100</f>
      </c>
      <c r="C24" s="15">
        <f>STDEV(Initial_magnetization_curve!K27,Initial_magnetization_curve!N27,Initial_magnetization_curve!Q27)/AVERAGE(Initial_magnetization_curve!K27,Initial_magnetization_curve!N27,Initial_magnetization_curve!Q27)*100</f>
      </c>
      <c r="D24" s="11">
        <f>AVERAGE(Initial_magnetization_curve!D27,Initial_magnetization_curve!G27,Initial_magnetization_curve!J27,Initial_magnetization_curve!M27,Initial_magnetization_curve!P27,A24)</f>
      </c>
      <c r="E24" s="12">
        <f>STDEV(Initial_magnetization_curve!B27,Initial_magnetization_curve!E27,Initial_magnetization_curve!H27,Initial_magnetization_curve!K27,Initial_magnetization_curve!N27,Initial_magnetization_curve!Q27)/AVERAGE(Initial_magnetization_curve!B27,Initial_magnetization_curve!E27,Initial_magnetization_curve!H27,Initial_magnetization_curve!K27,Initial_magnetization_curve!N27,Initial_magnetization_curve!Q27)*100</f>
      </c>
      <c r="F24" s="11">
        <f>AVERAGE(Initial_magnetization_curve!A68,Initial_magnetization_curve!D68,Initial_magnetization_curve!G68,Initial_magnetization_curve!J68,Initial_magnetization_curve!M68,Initial_magnetization_curve!P68)</f>
      </c>
      <c r="G24" s="12">
        <f>STDEV(Initial_magnetization_curve!E68,Initial_magnetization_curve!N68)/AVERAGE(Initial_magnetization_curve!E68,Initial_magnetization_curve!N68)*100</f>
      </c>
      <c r="H24" s="11">
        <f>AVERAGE(Initial_magnetization_curve!A109,Initial_magnetization_curve!D109,Initial_magnetization_curve!G109,Initial_magnetization_curve!J109,Initial_magnetization_curve!M109,Initial_magnetization_curve!P109)</f>
      </c>
      <c r="I24" s="12">
        <f>STDEV(Initial_magnetization_curve!E109,Initial_magnetization_curve!N109)/AVERAGE(Initial_magnetization_curve!E109,Initial_magnetization_curve!N109)*100</f>
      </c>
      <c r="J24" s="16">
        <f>AVERAGE(Initial_magnetization_curve!D27,Initial_magnetization_curve!G27,Initial_magnetization_curve!J27,Initial_magnetization_curve!M27,Initial_magnetization_curve!P27,A24,Initial_magnetization_curve!D68,Initial_magnetization_curve!M68,Initial_magnetization_curve!D109,Initial_magnetization_curve!M109)</f>
      </c>
      <c r="K24" s="17">
        <f>STDEV(Initial_magnetization_curve!B27,Initial_magnetization_curve!E27,Initial_magnetization_curve!H27,Initial_magnetization_curve!K27,Initial_magnetization_curve!N27,Initial_magnetization_curve!Q27,Initial_magnetization_curve!E68,Initial_magnetization_curve!N68,Initial_magnetization_curve!E109,Initial_magnetization_curve!N109)/AVERAGE(Initial_magnetization_curve!B27,Initial_magnetization_curve!E27,Initial_magnetization_curve!H27,Initial_magnetization_curve!K27,Initial_magnetization_curve!N27,Initial_magnetization_curve!Q27,Initial_magnetization_curve!E68,Initial_magnetization_curve!N68,Initial_magnetization_curve!E109,Initial_magnetization_curve!N109)*100</f>
      </c>
    </row>
    <row x14ac:dyDescent="0.25" r="25" customHeight="1" ht="17.25">
      <c r="A25" s="11">
        <f>AVERAGE(Initial_magnetization_curve!A28,Initial_magnetization_curve!D28,Initial_magnetization_curve!G28,Initial_magnetization_curve!J28,Initial_magnetization_curve!M28,Initial_magnetization_curve!P28)</f>
      </c>
      <c r="B25" s="15">
        <f>STDEV(Initial_magnetization_curve!B28,Initial_magnetization_curve!E28,Initial_magnetization_curve!H28)/AVERAGE(Initial_magnetization_curve!B28,Initial_magnetization_curve!E28,Initial_magnetization_curve!H28)*100</f>
      </c>
      <c r="C25" s="15">
        <f>STDEV(Initial_magnetization_curve!K28,Initial_magnetization_curve!N28,Initial_magnetization_curve!Q28)/AVERAGE(Initial_magnetization_curve!K28,Initial_magnetization_curve!N28,Initial_magnetization_curve!Q28)*100</f>
      </c>
      <c r="D25" s="11">
        <f>AVERAGE(Initial_magnetization_curve!D28,Initial_magnetization_curve!G28,Initial_magnetization_curve!J28,Initial_magnetization_curve!M28,Initial_magnetization_curve!P28,A25)</f>
      </c>
      <c r="E25" s="12">
        <f>STDEV(Initial_magnetization_curve!B28,Initial_magnetization_curve!E28,Initial_magnetization_curve!H28,Initial_magnetization_curve!K28,Initial_magnetization_curve!N28,Initial_magnetization_curve!Q28)/AVERAGE(Initial_magnetization_curve!B28,Initial_magnetization_curve!E28,Initial_magnetization_curve!H28,Initial_magnetization_curve!K28,Initial_magnetization_curve!N28,Initial_magnetization_curve!Q28)*100</f>
      </c>
      <c r="F25" s="11">
        <f>AVERAGE(Initial_magnetization_curve!A69,Initial_magnetization_curve!D69,Initial_magnetization_curve!G69,Initial_magnetization_curve!J69,Initial_magnetization_curve!M69,Initial_magnetization_curve!P69)</f>
      </c>
      <c r="G25" s="12">
        <f>STDEV(Initial_magnetization_curve!E69,Initial_magnetization_curve!N69)/AVERAGE(Initial_magnetization_curve!E69,Initial_magnetization_curve!N69)*100</f>
      </c>
      <c r="H25" s="11">
        <f>AVERAGE(Initial_magnetization_curve!A110,Initial_magnetization_curve!D110,Initial_magnetization_curve!G110,Initial_magnetization_curve!J110,Initial_magnetization_curve!M110,Initial_magnetization_curve!P110)</f>
      </c>
      <c r="I25" s="12">
        <f>STDEV(Initial_magnetization_curve!E110,Initial_magnetization_curve!N110)/AVERAGE(Initial_magnetization_curve!E110,Initial_magnetization_curve!N110)*100</f>
      </c>
      <c r="J25" s="16">
        <f>AVERAGE(Initial_magnetization_curve!D28,Initial_magnetization_curve!G28,Initial_magnetization_curve!J28,Initial_magnetization_curve!M28,Initial_magnetization_curve!P28,A25,Initial_magnetization_curve!D69,Initial_magnetization_curve!M69,Initial_magnetization_curve!D110,Initial_magnetization_curve!M110)</f>
      </c>
      <c r="K25" s="17">
        <f>STDEV(Initial_magnetization_curve!B28,Initial_magnetization_curve!E28,Initial_magnetization_curve!H28,Initial_magnetization_curve!K28,Initial_magnetization_curve!N28,Initial_magnetization_curve!Q28,Initial_magnetization_curve!E69,Initial_magnetization_curve!N69,Initial_magnetization_curve!E110,Initial_magnetization_curve!N110)/AVERAGE(Initial_magnetization_curve!B28,Initial_magnetization_curve!E28,Initial_magnetization_curve!H28,Initial_magnetization_curve!K28,Initial_magnetization_curve!N28,Initial_magnetization_curve!Q28,Initial_magnetization_curve!E69,Initial_magnetization_curve!N69,Initial_magnetization_curve!E110,Initial_magnetization_curve!N110)*100</f>
      </c>
    </row>
    <row x14ac:dyDescent="0.25" r="26" customHeight="1" ht="17.25">
      <c r="A26" s="11">
        <f>AVERAGE(Initial_magnetization_curve!A29,Initial_magnetization_curve!D29,Initial_magnetization_curve!G29,Initial_magnetization_curve!J29,Initial_magnetization_curve!M29,Initial_magnetization_curve!P29)</f>
      </c>
      <c r="B26" s="15">
        <f>STDEV(Initial_magnetization_curve!B29,Initial_magnetization_curve!E29,Initial_magnetization_curve!H29)/AVERAGE(Initial_magnetization_curve!B29,Initial_magnetization_curve!E29,Initial_magnetization_curve!H29)*100</f>
      </c>
      <c r="C26" s="15">
        <f>STDEV(Initial_magnetization_curve!K29,Initial_magnetization_curve!N29,Initial_magnetization_curve!Q29)/AVERAGE(Initial_magnetization_curve!K29,Initial_magnetization_curve!N29,Initial_magnetization_curve!Q29)*100</f>
      </c>
      <c r="D26" s="11">
        <f>AVERAGE(Initial_magnetization_curve!D29,Initial_magnetization_curve!G29,Initial_magnetization_curve!J29,Initial_magnetization_curve!M29,Initial_magnetization_curve!P29,A26)</f>
      </c>
      <c r="E26" s="12">
        <f>STDEV(Initial_magnetization_curve!B29,Initial_magnetization_curve!E29,Initial_magnetization_curve!H29,Initial_magnetization_curve!K29,Initial_magnetization_curve!N29,Initial_magnetization_curve!Q29)/AVERAGE(Initial_magnetization_curve!B29,Initial_magnetization_curve!E29,Initial_magnetization_curve!H29,Initial_magnetization_curve!K29,Initial_magnetization_curve!N29,Initial_magnetization_curve!Q29)*100</f>
      </c>
      <c r="F26" s="11">
        <f>AVERAGE(Initial_magnetization_curve!A70,Initial_magnetization_curve!D70,Initial_magnetization_curve!G70,Initial_magnetization_curve!J70,Initial_magnetization_curve!M70,Initial_magnetization_curve!P70)</f>
      </c>
      <c r="G26" s="12">
        <f>STDEV(Initial_magnetization_curve!E70,Initial_magnetization_curve!N70)/AVERAGE(Initial_magnetization_curve!E70,Initial_magnetization_curve!N70)*100</f>
      </c>
      <c r="H26" s="11">
        <f>AVERAGE(Initial_magnetization_curve!A111,Initial_magnetization_curve!D111,Initial_magnetization_curve!G111,Initial_magnetization_curve!J111,Initial_magnetization_curve!M111,Initial_magnetization_curve!P111)</f>
      </c>
      <c r="I26" s="12">
        <f>STDEV(Initial_magnetization_curve!E111,Initial_magnetization_curve!N111)/AVERAGE(Initial_magnetization_curve!E111,Initial_magnetization_curve!N111)*100</f>
      </c>
      <c r="J26" s="16">
        <f>AVERAGE(Initial_magnetization_curve!D29,Initial_magnetization_curve!G29,Initial_magnetization_curve!J29,Initial_magnetization_curve!M29,Initial_magnetization_curve!P29,A26,Initial_magnetization_curve!D70,Initial_magnetization_curve!M70,Initial_magnetization_curve!D111,Initial_magnetization_curve!M111)</f>
      </c>
      <c r="K26" s="17">
        <f>STDEV(Initial_magnetization_curve!B29,Initial_magnetization_curve!E29,Initial_magnetization_curve!H29,Initial_magnetization_curve!K29,Initial_magnetization_curve!N29,Initial_magnetization_curve!Q29,Initial_magnetization_curve!E70,Initial_magnetization_curve!N70,Initial_magnetization_curve!E111,Initial_magnetization_curve!N111)/AVERAGE(Initial_magnetization_curve!B29,Initial_magnetization_curve!E29,Initial_magnetization_curve!H29,Initial_magnetization_curve!K29,Initial_magnetization_curve!N29,Initial_magnetization_curve!Q29,Initial_magnetization_curve!E70,Initial_magnetization_curve!N70,Initial_magnetization_curve!E111,Initial_magnetization_curve!N111)*100</f>
      </c>
    </row>
    <row x14ac:dyDescent="0.25" r="27" customHeight="1" ht="17.25">
      <c r="A27" s="11">
        <f>AVERAGE(Initial_magnetization_curve!A30,Initial_magnetization_curve!D30,Initial_magnetization_curve!G30,Initial_magnetization_curve!J30,Initial_magnetization_curve!M30,Initial_magnetization_curve!P30)</f>
      </c>
      <c r="B27" s="15">
        <f>STDEV(Initial_magnetization_curve!B30,Initial_magnetization_curve!E30,Initial_magnetization_curve!H30)/AVERAGE(Initial_magnetization_curve!B30,Initial_magnetization_curve!E30,Initial_magnetization_curve!H30)*100</f>
      </c>
      <c r="C27" s="15">
        <f>STDEV(Initial_magnetization_curve!K30,Initial_magnetization_curve!N30,Initial_magnetization_curve!Q30)/AVERAGE(Initial_magnetization_curve!K30,Initial_magnetization_curve!N30,Initial_magnetization_curve!Q30)*100</f>
      </c>
      <c r="D27" s="11">
        <f>AVERAGE(Initial_magnetization_curve!D30,Initial_magnetization_curve!G30,Initial_magnetization_curve!J30,Initial_magnetization_curve!M30,Initial_magnetization_curve!P30,A27)</f>
      </c>
      <c r="E27" s="12">
        <f>STDEV(Initial_magnetization_curve!B30,Initial_magnetization_curve!E30,Initial_magnetization_curve!H30,Initial_magnetization_curve!K30,Initial_magnetization_curve!N30,Initial_magnetization_curve!Q30)/AVERAGE(Initial_magnetization_curve!B30,Initial_magnetization_curve!E30,Initial_magnetization_curve!H30,Initial_magnetization_curve!K30,Initial_magnetization_curve!N30,Initial_magnetization_curve!Q30)*100</f>
      </c>
      <c r="F27" s="11">
        <f>AVERAGE(Initial_magnetization_curve!A71,Initial_magnetization_curve!D71,Initial_magnetization_curve!G71,Initial_magnetization_curve!J71,Initial_magnetization_curve!M71,Initial_magnetization_curve!P71)</f>
      </c>
      <c r="G27" s="12">
        <f>STDEV(Initial_magnetization_curve!E71,Initial_magnetization_curve!N71)/AVERAGE(Initial_magnetization_curve!E71,Initial_magnetization_curve!N71)*100</f>
      </c>
      <c r="H27" s="11">
        <f>AVERAGE(Initial_magnetization_curve!A112,Initial_magnetization_curve!D112,Initial_magnetization_curve!G112,Initial_magnetization_curve!J112,Initial_magnetization_curve!M112,Initial_magnetization_curve!P112)</f>
      </c>
      <c r="I27" s="12">
        <f>STDEV(Initial_magnetization_curve!E112,Initial_magnetization_curve!N112)/AVERAGE(Initial_magnetization_curve!E112,Initial_magnetization_curve!N112)*100</f>
      </c>
      <c r="J27" s="16">
        <f>AVERAGE(Initial_magnetization_curve!D30,Initial_magnetization_curve!G30,Initial_magnetization_curve!J30,Initial_magnetization_curve!M30,Initial_magnetization_curve!P30,A27,Initial_magnetization_curve!D71,Initial_magnetization_curve!M71,Initial_magnetization_curve!D112,Initial_magnetization_curve!M112)</f>
      </c>
      <c r="K27" s="17">
        <f>STDEV(Initial_magnetization_curve!B30,Initial_magnetization_curve!E30,Initial_magnetization_curve!H30,Initial_magnetization_curve!K30,Initial_magnetization_curve!N30,Initial_magnetization_curve!Q30,Initial_magnetization_curve!E71,Initial_magnetization_curve!N71,Initial_magnetization_curve!E112,Initial_magnetization_curve!N112)/AVERAGE(Initial_magnetization_curve!B30,Initial_magnetization_curve!E30,Initial_magnetization_curve!H30,Initial_magnetization_curve!K30,Initial_magnetization_curve!N30,Initial_magnetization_curve!Q30,Initial_magnetization_curve!E71,Initial_magnetization_curve!N71,Initial_magnetization_curve!E112,Initial_magnetization_curve!N112)*100</f>
      </c>
    </row>
    <row x14ac:dyDescent="0.25" r="28" customHeight="1" ht="17.25">
      <c r="A28" s="11">
        <f>AVERAGE(Initial_magnetization_curve!A31,Initial_magnetization_curve!D31,Initial_magnetization_curve!G31,Initial_magnetization_curve!J31,Initial_magnetization_curve!M31,Initial_magnetization_curve!P31)</f>
      </c>
      <c r="B28" s="15">
        <f>STDEV(Initial_magnetization_curve!B31,Initial_magnetization_curve!E31,Initial_magnetization_curve!H31)/AVERAGE(Initial_magnetization_curve!B31,Initial_magnetization_curve!E31,Initial_magnetization_curve!H31)*100</f>
      </c>
      <c r="C28" s="15">
        <f>STDEV(Initial_magnetization_curve!K31,Initial_magnetization_curve!N31,Initial_magnetization_curve!Q31)/AVERAGE(Initial_magnetization_curve!K31,Initial_magnetization_curve!N31,Initial_magnetization_curve!Q31)*100</f>
      </c>
      <c r="D28" s="11">
        <f>AVERAGE(Initial_magnetization_curve!D31,Initial_magnetization_curve!G31,Initial_magnetization_curve!J31,Initial_magnetization_curve!M31,Initial_magnetization_curve!P31,A28)</f>
      </c>
      <c r="E28" s="12">
        <f>STDEV(Initial_magnetization_curve!B31,Initial_magnetization_curve!E31,Initial_magnetization_curve!H31,Initial_magnetization_curve!K31,Initial_magnetization_curve!N31,Initial_magnetization_curve!Q31)/AVERAGE(Initial_magnetization_curve!B31,Initial_magnetization_curve!E31,Initial_magnetization_curve!H31,Initial_magnetization_curve!K31,Initial_magnetization_curve!N31,Initial_magnetization_curve!Q31)*100</f>
      </c>
      <c r="F28" s="11">
        <f>AVERAGE(Initial_magnetization_curve!A72,Initial_magnetization_curve!D72,Initial_magnetization_curve!G72,Initial_magnetization_curve!J72,Initial_magnetization_curve!M72,Initial_magnetization_curve!P72)</f>
      </c>
      <c r="G28" s="12">
        <f>STDEV(Initial_magnetization_curve!E72,Initial_magnetization_curve!N72)/AVERAGE(Initial_magnetization_curve!E72,Initial_magnetization_curve!N72)*100</f>
      </c>
      <c r="H28" s="11">
        <f>AVERAGE(Initial_magnetization_curve!A113,Initial_magnetization_curve!D113,Initial_magnetization_curve!G113,Initial_magnetization_curve!J113,Initial_magnetization_curve!M113,Initial_magnetization_curve!P113)</f>
      </c>
      <c r="I28" s="12">
        <f>STDEV(Initial_magnetization_curve!E113,Initial_magnetization_curve!N113)/AVERAGE(Initial_magnetization_curve!E113,Initial_magnetization_curve!N113)*100</f>
      </c>
      <c r="J28" s="16">
        <f>AVERAGE(Initial_magnetization_curve!D31,Initial_magnetization_curve!G31,Initial_magnetization_curve!J31,Initial_magnetization_curve!M31,Initial_magnetization_curve!P31,A28,Initial_magnetization_curve!D72,Initial_magnetization_curve!M72,Initial_magnetization_curve!D113,Initial_magnetization_curve!M113)</f>
      </c>
      <c r="K28" s="17">
        <f>STDEV(Initial_magnetization_curve!B31,Initial_magnetization_curve!E31,Initial_magnetization_curve!H31,Initial_magnetization_curve!K31,Initial_magnetization_curve!N31,Initial_magnetization_curve!Q31,Initial_magnetization_curve!E72,Initial_magnetization_curve!N72,Initial_magnetization_curve!E113,Initial_magnetization_curve!N113)/AVERAGE(Initial_magnetization_curve!B31,Initial_magnetization_curve!E31,Initial_magnetization_curve!H31,Initial_magnetization_curve!K31,Initial_magnetization_curve!N31,Initial_magnetization_curve!Q31,Initial_magnetization_curve!E72,Initial_magnetization_curve!N72,Initial_magnetization_curve!E113,Initial_magnetization_curve!N113)*100</f>
      </c>
    </row>
    <row x14ac:dyDescent="0.25" r="29" customHeight="1" ht="17.25">
      <c r="A29" s="11">
        <f>AVERAGE(Initial_magnetization_curve!A32,Initial_magnetization_curve!D32,Initial_magnetization_curve!G32,Initial_magnetization_curve!J32,Initial_magnetization_curve!M32,Initial_magnetization_curve!P32)</f>
      </c>
      <c r="B29" s="15">
        <f>STDEV(Initial_magnetization_curve!B32,Initial_magnetization_curve!E32,Initial_magnetization_curve!H32)/AVERAGE(Initial_magnetization_curve!B32,Initial_magnetization_curve!E32,Initial_magnetization_curve!H32)*100</f>
      </c>
      <c r="C29" s="15">
        <f>STDEV(Initial_magnetization_curve!K32,Initial_magnetization_curve!N32,Initial_magnetization_curve!Q32)/AVERAGE(Initial_magnetization_curve!K32,Initial_magnetization_curve!N32,Initial_magnetization_curve!Q32)*100</f>
      </c>
      <c r="D29" s="11">
        <f>AVERAGE(Initial_magnetization_curve!D32,Initial_magnetization_curve!G32,Initial_magnetization_curve!J32,Initial_magnetization_curve!M32,Initial_magnetization_curve!P32,A29)</f>
      </c>
      <c r="E29" s="12">
        <f>STDEV(Initial_magnetization_curve!B32,Initial_magnetization_curve!E32,Initial_magnetization_curve!H32,Initial_magnetization_curve!K32,Initial_magnetization_curve!N32,Initial_magnetization_curve!Q32)/AVERAGE(Initial_magnetization_curve!B32,Initial_magnetization_curve!E32,Initial_magnetization_curve!H32,Initial_magnetization_curve!K32,Initial_magnetization_curve!N32,Initial_magnetization_curve!Q32)*100</f>
      </c>
      <c r="F29" s="11">
        <f>AVERAGE(Initial_magnetization_curve!A73,Initial_magnetization_curve!D73,Initial_magnetization_curve!G73,Initial_magnetization_curve!J73,Initial_magnetization_curve!M73,Initial_magnetization_curve!P73)</f>
      </c>
      <c r="G29" s="12">
        <f>STDEV(Initial_magnetization_curve!E73,Initial_magnetization_curve!N73)/AVERAGE(Initial_magnetization_curve!E73,Initial_magnetization_curve!N73)*100</f>
      </c>
      <c r="H29" s="11">
        <f>AVERAGE(Initial_magnetization_curve!A114,Initial_magnetization_curve!D114,Initial_magnetization_curve!G114,Initial_magnetization_curve!J114,Initial_magnetization_curve!M114,Initial_magnetization_curve!P114)</f>
      </c>
      <c r="I29" s="12">
        <f>STDEV(Initial_magnetization_curve!E114,Initial_magnetization_curve!N114)/AVERAGE(Initial_magnetization_curve!E114,Initial_magnetization_curve!N114)*100</f>
      </c>
      <c r="J29" s="16">
        <f>AVERAGE(Initial_magnetization_curve!D32,Initial_magnetization_curve!G32,Initial_magnetization_curve!J32,Initial_magnetization_curve!M32,Initial_magnetization_curve!P32,A29,Initial_magnetization_curve!D73,Initial_magnetization_curve!M73,Initial_magnetization_curve!D114,Initial_magnetization_curve!M114)</f>
      </c>
      <c r="K29" s="17">
        <f>STDEV(Initial_magnetization_curve!B32,Initial_magnetization_curve!E32,Initial_magnetization_curve!H32,Initial_magnetization_curve!K32,Initial_magnetization_curve!N32,Initial_magnetization_curve!Q32,Initial_magnetization_curve!E73,Initial_magnetization_curve!N73,Initial_magnetization_curve!E114,Initial_magnetization_curve!N114)/AVERAGE(Initial_magnetization_curve!B32,Initial_magnetization_curve!E32,Initial_magnetization_curve!H32,Initial_magnetization_curve!K32,Initial_magnetization_curve!N32,Initial_magnetization_curve!Q32,Initial_magnetization_curve!E73,Initial_magnetization_curve!N73,Initial_magnetization_curve!E114,Initial_magnetization_curve!N114)*100</f>
      </c>
    </row>
    <row x14ac:dyDescent="0.25" r="30" customHeight="1" ht="17.25">
      <c r="A30" s="11">
        <f>AVERAGE(Initial_magnetization_curve!A33,Initial_magnetization_curve!D33,Initial_magnetization_curve!G33,Initial_magnetization_curve!J33,Initial_magnetization_curve!M33,Initial_magnetization_curve!P33)</f>
      </c>
      <c r="B30" s="15">
        <f>STDEV(Initial_magnetization_curve!B33,Initial_magnetization_curve!E33,Initial_magnetization_curve!H33)/AVERAGE(Initial_magnetization_curve!B33,Initial_magnetization_curve!E33,Initial_magnetization_curve!H33)*100</f>
      </c>
      <c r="C30" s="15">
        <f>STDEV(Initial_magnetization_curve!K33,Initial_magnetization_curve!N33,Initial_magnetization_curve!Q33)/AVERAGE(Initial_magnetization_curve!K33,Initial_magnetization_curve!N33,Initial_magnetization_curve!Q33)*100</f>
      </c>
      <c r="D30" s="11">
        <f>AVERAGE(Initial_magnetization_curve!D33,Initial_magnetization_curve!G33,Initial_magnetization_curve!J33,Initial_magnetization_curve!M33,Initial_magnetization_curve!P33,A30)</f>
      </c>
      <c r="E30" s="12">
        <f>STDEV(Initial_magnetization_curve!B33,Initial_magnetization_curve!E33,Initial_magnetization_curve!H33,Initial_magnetization_curve!K33,Initial_magnetization_curve!N33,Initial_magnetization_curve!Q33)/AVERAGE(Initial_magnetization_curve!B33,Initial_magnetization_curve!E33,Initial_magnetization_curve!H33,Initial_magnetization_curve!K33,Initial_magnetization_curve!N33,Initial_magnetization_curve!Q33)*100</f>
      </c>
      <c r="F30" s="11">
        <f>AVERAGE(Initial_magnetization_curve!A74,Initial_magnetization_curve!D74,Initial_magnetization_curve!G74,Initial_magnetization_curve!J74,Initial_magnetization_curve!M74,Initial_magnetization_curve!P74)</f>
      </c>
      <c r="G30" s="12">
        <f>STDEV(Initial_magnetization_curve!E74,Initial_magnetization_curve!N74)/AVERAGE(Initial_magnetization_curve!E74,Initial_magnetization_curve!N74)*100</f>
      </c>
      <c r="H30" s="11">
        <f>AVERAGE(Initial_magnetization_curve!A115,Initial_magnetization_curve!D115,Initial_magnetization_curve!G115,Initial_magnetization_curve!J115,Initial_magnetization_curve!M115,Initial_magnetization_curve!P115)</f>
      </c>
      <c r="I30" s="12">
        <f>STDEV(Initial_magnetization_curve!E115,Initial_magnetization_curve!N115)/AVERAGE(Initial_magnetization_curve!E115,Initial_magnetization_curve!N115)*100</f>
      </c>
      <c r="J30" s="16">
        <f>AVERAGE(Initial_magnetization_curve!D33,Initial_magnetization_curve!G33,Initial_magnetization_curve!J33,Initial_magnetization_curve!M33,Initial_magnetization_curve!P33,A30,Initial_magnetization_curve!D74,Initial_magnetization_curve!M74,Initial_magnetization_curve!D115,Initial_magnetization_curve!M115)</f>
      </c>
      <c r="K30" s="17">
        <f>STDEV(Initial_magnetization_curve!B33,Initial_magnetization_curve!E33,Initial_magnetization_curve!H33,Initial_magnetization_curve!K33,Initial_magnetization_curve!N33,Initial_magnetization_curve!Q33,Initial_magnetization_curve!E74,Initial_magnetization_curve!N74,Initial_magnetization_curve!E115,Initial_magnetization_curve!N115)/AVERAGE(Initial_magnetization_curve!B33,Initial_magnetization_curve!E33,Initial_magnetization_curve!H33,Initial_magnetization_curve!K33,Initial_magnetization_curve!N33,Initial_magnetization_curve!Q33,Initial_magnetization_curve!E74,Initial_magnetization_curve!N74,Initial_magnetization_curve!E115,Initial_magnetization_curve!N115)*100</f>
      </c>
    </row>
    <row x14ac:dyDescent="0.25" r="31" customHeight="1" ht="17.25">
      <c r="A31" s="11">
        <f>AVERAGE(Initial_magnetization_curve!A34,Initial_magnetization_curve!D34,Initial_magnetization_curve!G34,Initial_magnetization_curve!J34,Initial_magnetization_curve!M34,Initial_magnetization_curve!P34)</f>
      </c>
      <c r="B31" s="15">
        <f>STDEV(Initial_magnetization_curve!B34,Initial_magnetization_curve!E34,Initial_magnetization_curve!H34)/AVERAGE(Initial_magnetization_curve!B34,Initial_magnetization_curve!E34,Initial_magnetization_curve!H34)*100</f>
      </c>
      <c r="C31" s="15">
        <f>STDEV(Initial_magnetization_curve!K34,Initial_magnetization_curve!N34,Initial_magnetization_curve!Q34)/AVERAGE(Initial_magnetization_curve!K34,Initial_magnetization_curve!N34,Initial_magnetization_curve!Q34)*100</f>
      </c>
      <c r="D31" s="11">
        <f>AVERAGE(Initial_magnetization_curve!D34,Initial_magnetization_curve!G34,Initial_magnetization_curve!J34,Initial_magnetization_curve!M34,Initial_magnetization_curve!P34,A31)</f>
      </c>
      <c r="E31" s="12">
        <f>STDEV(Initial_magnetization_curve!B34,Initial_magnetization_curve!E34,Initial_magnetization_curve!H34,Initial_magnetization_curve!K34,Initial_magnetization_curve!N34,Initial_magnetization_curve!Q34)/AVERAGE(Initial_magnetization_curve!B34,Initial_magnetization_curve!E34,Initial_magnetization_curve!H34,Initial_magnetization_curve!K34,Initial_magnetization_curve!N34,Initial_magnetization_curve!Q34)*100</f>
      </c>
      <c r="F31" s="11">
        <f>AVERAGE(Initial_magnetization_curve!A75,Initial_magnetization_curve!D75,Initial_magnetization_curve!G75,Initial_magnetization_curve!J75,Initial_magnetization_curve!M75,Initial_magnetization_curve!P75)</f>
      </c>
      <c r="G31" s="12">
        <f>STDEV(Initial_magnetization_curve!E75,Initial_magnetization_curve!N75)/AVERAGE(Initial_magnetization_curve!E75,Initial_magnetization_curve!N75)*100</f>
      </c>
      <c r="H31" s="11">
        <f>AVERAGE(Initial_magnetization_curve!A116,Initial_magnetization_curve!D116,Initial_magnetization_curve!G116,Initial_magnetization_curve!J116,Initial_magnetization_curve!M116,Initial_magnetization_curve!P116)</f>
      </c>
      <c r="I31" s="12">
        <f>STDEV(Initial_magnetization_curve!E116,Initial_magnetization_curve!N116)/AVERAGE(Initial_magnetization_curve!E116,Initial_magnetization_curve!N116)*100</f>
      </c>
      <c r="J31" s="16">
        <f>AVERAGE(Initial_magnetization_curve!D34,Initial_magnetization_curve!G34,Initial_magnetization_curve!J34,Initial_magnetization_curve!M34,Initial_magnetization_curve!P34,A31,Initial_magnetization_curve!D75,Initial_magnetization_curve!M75,Initial_magnetization_curve!D116,Initial_magnetization_curve!M116)</f>
      </c>
      <c r="K31" s="17">
        <f>STDEV(Initial_magnetization_curve!B34,Initial_magnetization_curve!E34,Initial_magnetization_curve!H34,Initial_magnetization_curve!K34,Initial_magnetization_curve!N34,Initial_magnetization_curve!Q34,Initial_magnetization_curve!E75,Initial_magnetization_curve!N75,Initial_magnetization_curve!E116,Initial_magnetization_curve!N116)/AVERAGE(Initial_magnetization_curve!B34,Initial_magnetization_curve!E34,Initial_magnetization_curve!H34,Initial_magnetization_curve!K34,Initial_magnetization_curve!N34,Initial_magnetization_curve!Q34,Initial_magnetization_curve!E75,Initial_magnetization_curve!N75,Initial_magnetization_curve!E116,Initial_magnetization_curve!N116)*100</f>
      </c>
    </row>
    <row x14ac:dyDescent="0.25" r="32" customHeight="1" ht="17.25">
      <c r="A32" s="11">
        <f>AVERAGE(Initial_magnetization_curve!A35,Initial_magnetization_curve!D35,Initial_magnetization_curve!G35,Initial_magnetization_curve!J35,Initial_magnetization_curve!M35,Initial_magnetization_curve!P35)</f>
      </c>
      <c r="B32" s="15">
        <f>STDEV(Initial_magnetization_curve!B35,Initial_magnetization_curve!E35,Initial_magnetization_curve!H35)/AVERAGE(Initial_magnetization_curve!B35,Initial_magnetization_curve!E35,Initial_magnetization_curve!H35)*100</f>
      </c>
      <c r="C32" s="15">
        <f>STDEV(Initial_magnetization_curve!K35,Initial_magnetization_curve!N35,Initial_magnetization_curve!Q35)/AVERAGE(Initial_magnetization_curve!K35,Initial_magnetization_curve!N35,Initial_magnetization_curve!Q35)*100</f>
      </c>
      <c r="D32" s="11">
        <f>AVERAGE(Initial_magnetization_curve!D35,Initial_magnetization_curve!G35,Initial_magnetization_curve!J35,Initial_magnetization_curve!M35,Initial_magnetization_curve!P35,A32)</f>
      </c>
      <c r="E32" s="12">
        <f>STDEV(Initial_magnetization_curve!B35,Initial_magnetization_curve!E35,Initial_magnetization_curve!H35,Initial_magnetization_curve!K35,Initial_magnetization_curve!N35,Initial_magnetization_curve!Q35)/AVERAGE(Initial_magnetization_curve!B35,Initial_magnetization_curve!E35,Initial_magnetization_curve!H35,Initial_magnetization_curve!K35,Initial_magnetization_curve!N35,Initial_magnetization_curve!Q35)*100</f>
      </c>
      <c r="F32" s="11">
        <f>AVERAGE(Initial_magnetization_curve!A76,Initial_magnetization_curve!D76,Initial_magnetization_curve!G76,Initial_magnetization_curve!J76,Initial_magnetization_curve!M76,Initial_magnetization_curve!P76)</f>
      </c>
      <c r="G32" s="12">
        <f>STDEV(Initial_magnetization_curve!E76,Initial_magnetization_curve!N76)/AVERAGE(Initial_magnetization_curve!E76,Initial_magnetization_curve!N76)*100</f>
      </c>
      <c r="H32" s="11">
        <f>AVERAGE(Initial_magnetization_curve!A117,Initial_magnetization_curve!D117,Initial_magnetization_curve!G117,Initial_magnetization_curve!J117,Initial_magnetization_curve!M117,Initial_magnetization_curve!P117)</f>
      </c>
      <c r="I32" s="12">
        <f>STDEV(Initial_magnetization_curve!E117,Initial_magnetization_curve!N117)/AVERAGE(Initial_magnetization_curve!E117,Initial_magnetization_curve!N117)*100</f>
      </c>
      <c r="J32" s="16">
        <f>AVERAGE(Initial_magnetization_curve!D35,Initial_magnetization_curve!G35,Initial_magnetization_curve!J35,Initial_magnetization_curve!M35,Initial_magnetization_curve!P35,A32,Initial_magnetization_curve!D76,Initial_magnetization_curve!M76,Initial_magnetization_curve!D117,Initial_magnetization_curve!M117)</f>
      </c>
      <c r="K32" s="17">
        <f>STDEV(Initial_magnetization_curve!B35,Initial_magnetization_curve!E35,Initial_magnetization_curve!H35,Initial_magnetization_curve!K35,Initial_magnetization_curve!N35,Initial_magnetization_curve!Q35,Initial_magnetization_curve!E76,Initial_magnetization_curve!N76,Initial_magnetization_curve!E117,Initial_magnetization_curve!N117)/AVERAGE(Initial_magnetization_curve!B35,Initial_magnetization_curve!E35,Initial_magnetization_curve!H35,Initial_magnetization_curve!K35,Initial_magnetization_curve!N35,Initial_magnetization_curve!Q35,Initial_magnetization_curve!E76,Initial_magnetization_curve!N76,Initial_magnetization_curve!E117,Initial_magnetization_curve!N117)*100</f>
      </c>
    </row>
    <row x14ac:dyDescent="0.25" r="33" customHeight="1" ht="17.25">
      <c r="A33" s="11">
        <f>AVERAGE(Initial_magnetization_curve!A36,Initial_magnetization_curve!D36,Initial_magnetization_curve!G36,Initial_magnetization_curve!J36,Initial_magnetization_curve!M36,Initial_magnetization_curve!P36)</f>
      </c>
      <c r="B33" s="15">
        <f>STDEV(Initial_magnetization_curve!B36,Initial_magnetization_curve!E36,Initial_magnetization_curve!H36)/AVERAGE(Initial_magnetization_curve!B36,Initial_magnetization_curve!E36,Initial_magnetization_curve!H36)*100</f>
      </c>
      <c r="C33" s="15">
        <f>STDEV(Initial_magnetization_curve!K36,Initial_magnetization_curve!N36,Initial_magnetization_curve!Q36)/AVERAGE(Initial_magnetization_curve!K36,Initial_magnetization_curve!N36,Initial_magnetization_curve!Q36)*100</f>
      </c>
      <c r="D33" s="11">
        <f>AVERAGE(Initial_magnetization_curve!D36,Initial_magnetization_curve!G36,Initial_magnetization_curve!J36,Initial_magnetization_curve!M36,Initial_magnetization_curve!P36,A33)</f>
      </c>
      <c r="E33" s="12">
        <f>STDEV(Initial_magnetization_curve!B36,Initial_magnetization_curve!E36,Initial_magnetization_curve!H36,Initial_magnetization_curve!K36,Initial_magnetization_curve!N36,Initial_magnetization_curve!Q36)/AVERAGE(Initial_magnetization_curve!B36,Initial_magnetization_curve!E36,Initial_magnetization_curve!H36,Initial_magnetization_curve!K36,Initial_magnetization_curve!N36,Initial_magnetization_curve!Q36)*100</f>
      </c>
      <c r="F33" s="11">
        <f>AVERAGE(Initial_magnetization_curve!A77,Initial_magnetization_curve!D77,Initial_magnetization_curve!G77,Initial_magnetization_curve!J77,Initial_magnetization_curve!M77,Initial_magnetization_curve!P77)</f>
      </c>
      <c r="G33" s="12">
        <f>STDEV(Initial_magnetization_curve!E77,Initial_magnetization_curve!N77)/AVERAGE(Initial_magnetization_curve!E77,Initial_magnetization_curve!N77)*100</f>
      </c>
      <c r="H33" s="11">
        <f>AVERAGE(Initial_magnetization_curve!A118,Initial_magnetization_curve!D118,Initial_magnetization_curve!G118,Initial_magnetization_curve!J118,Initial_magnetization_curve!M118,Initial_magnetization_curve!P118)</f>
      </c>
      <c r="I33" s="12">
        <f>STDEV(Initial_magnetization_curve!E118,Initial_magnetization_curve!N118)/AVERAGE(Initial_magnetization_curve!E118,Initial_magnetization_curve!N118)*100</f>
      </c>
      <c r="J33" s="16">
        <f>AVERAGE(Initial_magnetization_curve!D36,Initial_magnetization_curve!G36,Initial_magnetization_curve!J36,Initial_magnetization_curve!M36,Initial_magnetization_curve!P36,A33,Initial_magnetization_curve!D77,Initial_magnetization_curve!M77,Initial_magnetization_curve!D118,Initial_magnetization_curve!M118)</f>
      </c>
      <c r="K33" s="17">
        <f>STDEV(Initial_magnetization_curve!B36,Initial_magnetization_curve!E36,Initial_magnetization_curve!H36,Initial_magnetization_curve!K36,Initial_magnetization_curve!N36,Initial_magnetization_curve!Q36,Initial_magnetization_curve!E77,Initial_magnetization_curve!N77,Initial_magnetization_curve!E118,Initial_magnetization_curve!N118)/AVERAGE(Initial_magnetization_curve!B36,Initial_magnetization_curve!E36,Initial_magnetization_curve!H36,Initial_magnetization_curve!K36,Initial_magnetization_curve!N36,Initial_magnetization_curve!Q36,Initial_magnetization_curve!E77,Initial_magnetization_curve!N77,Initial_magnetization_curve!E118,Initial_magnetization_curve!N118)*100</f>
      </c>
    </row>
    <row x14ac:dyDescent="0.25" r="34" customHeight="1" ht="17.25">
      <c r="A34" s="11">
        <f>AVERAGE(Initial_magnetization_curve!A37,Initial_magnetization_curve!D37,Initial_magnetization_curve!G37,Initial_magnetization_curve!J37,Initial_magnetization_curve!M37,Initial_magnetization_curve!P37)</f>
      </c>
      <c r="B34" s="15">
        <f>STDEV(Initial_magnetization_curve!B37,Initial_magnetization_curve!E37,Initial_magnetization_curve!H37)/AVERAGE(Initial_magnetization_curve!B37,Initial_magnetization_curve!E37,Initial_magnetization_curve!H37)*100</f>
      </c>
      <c r="C34" s="15">
        <f>STDEV(Initial_magnetization_curve!K37,Initial_magnetization_curve!N37,Initial_magnetization_curve!Q37)/AVERAGE(Initial_magnetization_curve!K37,Initial_magnetization_curve!N37,Initial_magnetization_curve!Q37)*100</f>
      </c>
      <c r="D34" s="11">
        <f>AVERAGE(Initial_magnetization_curve!D37,Initial_magnetization_curve!G37,Initial_magnetization_curve!J37,Initial_magnetization_curve!M37,Initial_magnetization_curve!P37,A34)</f>
      </c>
      <c r="E34" s="12">
        <f>STDEV(Initial_magnetization_curve!B37,Initial_magnetization_curve!E37,Initial_magnetization_curve!H37,Initial_magnetization_curve!K37,Initial_magnetization_curve!N37,Initial_magnetization_curve!Q37)/AVERAGE(Initial_magnetization_curve!B37,Initial_magnetization_curve!E37,Initial_magnetization_curve!H37,Initial_magnetization_curve!K37,Initial_magnetization_curve!N37,Initial_magnetization_curve!Q37)*100</f>
      </c>
      <c r="F34" s="11">
        <f>AVERAGE(Initial_magnetization_curve!A78,Initial_magnetization_curve!D78,Initial_magnetization_curve!G78,Initial_magnetization_curve!J78,Initial_magnetization_curve!M78,Initial_magnetization_curve!P78)</f>
      </c>
      <c r="G34" s="12">
        <f>STDEV(Initial_magnetization_curve!E78,Initial_magnetization_curve!N78)/AVERAGE(Initial_magnetization_curve!E78,Initial_magnetization_curve!N78)*100</f>
      </c>
      <c r="H34" s="11">
        <f>AVERAGE(Initial_magnetization_curve!A119,Initial_magnetization_curve!D119,Initial_magnetization_curve!G119,Initial_magnetization_curve!J119,Initial_magnetization_curve!M119,Initial_magnetization_curve!P119)</f>
      </c>
      <c r="I34" s="12">
        <f>STDEV(Initial_magnetization_curve!E119,Initial_magnetization_curve!N119)/AVERAGE(Initial_magnetization_curve!E119,Initial_magnetization_curve!N119)*100</f>
      </c>
      <c r="J34" s="16">
        <f>AVERAGE(Initial_magnetization_curve!D37,Initial_magnetization_curve!G37,Initial_magnetization_curve!J37,Initial_magnetization_curve!M37,Initial_magnetization_curve!P37,A34,Initial_magnetization_curve!D78,Initial_magnetization_curve!M78,Initial_magnetization_curve!D119,Initial_magnetization_curve!M119)</f>
      </c>
      <c r="K34" s="17">
        <f>STDEV(Initial_magnetization_curve!B37,Initial_magnetization_curve!E37,Initial_magnetization_curve!H37,Initial_magnetization_curve!K37,Initial_magnetization_curve!N37,Initial_magnetization_curve!Q37,Initial_magnetization_curve!E78,Initial_magnetization_curve!N78,Initial_magnetization_curve!E119,Initial_magnetization_curve!N119)/AVERAGE(Initial_magnetization_curve!B37,Initial_magnetization_curve!E37,Initial_magnetization_curve!H37,Initial_magnetization_curve!K37,Initial_magnetization_curve!N37,Initial_magnetization_curve!Q37,Initial_magnetization_curve!E78,Initial_magnetization_curve!N78,Initial_magnetization_curve!E119,Initial_magnetization_curve!N119)*100</f>
      </c>
    </row>
    <row x14ac:dyDescent="0.25" r="35" customHeight="1" ht="17.25">
      <c r="A35" s="11">
        <f>AVERAGE(Initial_magnetization_curve!A38,Initial_magnetization_curve!D38,Initial_magnetization_curve!G38,Initial_magnetization_curve!J38,Initial_magnetization_curve!M38,Initial_magnetization_curve!P38)</f>
      </c>
      <c r="B35" s="15">
        <f>STDEV(Initial_magnetization_curve!B38,Initial_magnetization_curve!E38,Initial_magnetization_curve!H38)/AVERAGE(Initial_magnetization_curve!B38,Initial_magnetization_curve!E38,Initial_magnetization_curve!H38)*100</f>
      </c>
      <c r="C35" s="15">
        <f>STDEV(Initial_magnetization_curve!K38,Initial_magnetization_curve!N38,Initial_magnetization_curve!Q38)/AVERAGE(Initial_magnetization_curve!K38,Initial_magnetization_curve!N38,Initial_magnetization_curve!Q38)*100</f>
      </c>
      <c r="D35" s="11">
        <f>AVERAGE(Initial_magnetization_curve!D38,Initial_magnetization_curve!G38,Initial_magnetization_curve!J38,Initial_magnetization_curve!M38,Initial_magnetization_curve!P38,A35)</f>
      </c>
      <c r="E35" s="12">
        <f>STDEV(Initial_magnetization_curve!B38,Initial_magnetization_curve!E38,Initial_magnetization_curve!H38,Initial_magnetization_curve!K38,Initial_magnetization_curve!N38,Initial_magnetization_curve!Q38)/AVERAGE(Initial_magnetization_curve!B38,Initial_magnetization_curve!E38,Initial_magnetization_curve!H38,Initial_magnetization_curve!K38,Initial_magnetization_curve!N38,Initial_magnetization_curve!Q38)*100</f>
      </c>
      <c r="F35" s="11">
        <f>AVERAGE(Initial_magnetization_curve!A79,Initial_magnetization_curve!D79,Initial_magnetization_curve!G79,Initial_magnetization_curve!J79,Initial_magnetization_curve!M79,Initial_magnetization_curve!P79)</f>
      </c>
      <c r="G35" s="12">
        <f>STDEV(Initial_magnetization_curve!E79,Initial_magnetization_curve!N79)/AVERAGE(Initial_magnetization_curve!E79,Initial_magnetization_curve!N79)*100</f>
      </c>
      <c r="H35" s="11">
        <f>AVERAGE(Initial_magnetization_curve!A120,Initial_magnetization_curve!D120,Initial_magnetization_curve!G120,Initial_magnetization_curve!J120,Initial_magnetization_curve!M120,Initial_magnetization_curve!P120)</f>
      </c>
      <c r="I35" s="12">
        <f>STDEV(Initial_magnetization_curve!E120,Initial_magnetization_curve!N120)/AVERAGE(Initial_magnetization_curve!E120,Initial_magnetization_curve!N120)*100</f>
      </c>
      <c r="J35" s="16">
        <f>AVERAGE(Initial_magnetization_curve!D38,Initial_magnetization_curve!G38,Initial_magnetization_curve!J38,Initial_magnetization_curve!M38,Initial_magnetization_curve!P38,A35,Initial_magnetization_curve!D79,Initial_magnetization_curve!M79,Initial_magnetization_curve!D120,Initial_magnetization_curve!M120)</f>
      </c>
      <c r="K35" s="17">
        <f>STDEV(Initial_magnetization_curve!B38,Initial_magnetization_curve!E38,Initial_magnetization_curve!H38,Initial_magnetization_curve!K38,Initial_magnetization_curve!N38,Initial_magnetization_curve!Q38,Initial_magnetization_curve!E79,Initial_magnetization_curve!N79,Initial_magnetization_curve!E120,Initial_magnetization_curve!N120)/AVERAGE(Initial_magnetization_curve!B38,Initial_magnetization_curve!E38,Initial_magnetization_curve!H38,Initial_magnetization_curve!K38,Initial_magnetization_curve!N38,Initial_magnetization_curve!Q38,Initial_magnetization_curve!E79,Initial_magnetization_curve!N79,Initial_magnetization_curve!E120,Initial_magnetization_curve!N120)*100</f>
      </c>
    </row>
    <row x14ac:dyDescent="0.25" r="36" customHeight="1" ht="17.25">
      <c r="A36" s="11">
        <f>AVERAGE(Initial_magnetization_curve!A39,Initial_magnetization_curve!D39,Initial_magnetization_curve!G39,Initial_magnetization_curve!J39,Initial_magnetization_curve!M39,Initial_magnetization_curve!P39)</f>
      </c>
      <c r="B36" s="15">
        <f>STDEV(Initial_magnetization_curve!B39,Initial_magnetization_curve!E39,Initial_magnetization_curve!H39)/AVERAGE(Initial_magnetization_curve!B39,Initial_magnetization_curve!E39,Initial_magnetization_curve!H39)*100</f>
      </c>
      <c r="C36" s="15">
        <f>STDEV(Initial_magnetization_curve!K39,Initial_magnetization_curve!N39,Initial_magnetization_curve!Q39)/AVERAGE(Initial_magnetization_curve!K39,Initial_magnetization_curve!N39,Initial_magnetization_curve!Q39)*100</f>
      </c>
      <c r="D36" s="11">
        <f>AVERAGE(Initial_magnetization_curve!D39,Initial_magnetization_curve!G39,Initial_magnetization_curve!J39,Initial_magnetization_curve!M39,Initial_magnetization_curve!P39,A36)</f>
      </c>
      <c r="E36" s="12">
        <f>STDEV(Initial_magnetization_curve!B39,Initial_magnetization_curve!E39,Initial_magnetization_curve!H39,Initial_magnetization_curve!K39,Initial_magnetization_curve!N39,Initial_magnetization_curve!Q39)/AVERAGE(Initial_magnetization_curve!B39,Initial_magnetization_curve!E39,Initial_magnetization_curve!H39,Initial_magnetization_curve!K39,Initial_magnetization_curve!N39,Initial_magnetization_curve!Q39)*100</f>
      </c>
      <c r="F36" s="11">
        <f>AVERAGE(Initial_magnetization_curve!A80,Initial_magnetization_curve!D80,Initial_magnetization_curve!G80,Initial_magnetization_curve!J80,Initial_magnetization_curve!M80,Initial_magnetization_curve!P80)</f>
      </c>
      <c r="G36" s="12">
        <f>STDEV(Initial_magnetization_curve!E80,Initial_magnetization_curve!N80)/AVERAGE(Initial_magnetization_curve!E80,Initial_magnetization_curve!N80)*100</f>
      </c>
      <c r="H36" s="11">
        <f>AVERAGE(Initial_magnetization_curve!A121,Initial_magnetization_curve!D121,Initial_magnetization_curve!G121,Initial_magnetization_curve!J121,Initial_magnetization_curve!M121,Initial_magnetization_curve!P121)</f>
      </c>
      <c r="I36" s="12">
        <f>STDEV(Initial_magnetization_curve!E121,Initial_magnetization_curve!N121)/AVERAGE(Initial_magnetization_curve!E121,Initial_magnetization_curve!N121)*100</f>
      </c>
      <c r="J36" s="16">
        <f>AVERAGE(Initial_magnetization_curve!D39,Initial_magnetization_curve!G39,Initial_magnetization_curve!J39,Initial_magnetization_curve!M39,Initial_magnetization_curve!P39,A36,Initial_magnetization_curve!D80,Initial_magnetization_curve!M80,Initial_magnetization_curve!D121,Initial_magnetization_curve!M121)</f>
      </c>
      <c r="K36" s="17">
        <f>STDEV(Initial_magnetization_curve!B39,Initial_magnetization_curve!E39,Initial_magnetization_curve!H39,Initial_magnetization_curve!K39,Initial_magnetization_curve!N39,Initial_magnetization_curve!Q39,Initial_magnetization_curve!E80,Initial_magnetization_curve!N80,Initial_magnetization_curve!E121,Initial_magnetization_curve!N121)/AVERAGE(Initial_magnetization_curve!B39,Initial_magnetization_curve!E39,Initial_magnetization_curve!H39,Initial_magnetization_curve!K39,Initial_magnetization_curve!N39,Initial_magnetization_curve!Q39,Initial_magnetization_curve!E80,Initial_magnetization_curve!N80,Initial_magnetization_curve!E121,Initial_magnetization_curve!N121)*100</f>
      </c>
    </row>
    <row x14ac:dyDescent="0.25" r="37" customHeight="1" ht="17.25">
      <c r="A37" s="11">
        <f>AVERAGE(Initial_magnetization_curve!A40,Initial_magnetization_curve!D40,Initial_magnetization_curve!G40,Initial_magnetization_curve!J40,Initial_magnetization_curve!M40,Initial_magnetization_curve!P40)</f>
      </c>
      <c r="B37" s="15">
        <f>STDEV(Initial_magnetization_curve!B40,Initial_magnetization_curve!E40,Initial_magnetization_curve!H40)/AVERAGE(Initial_magnetization_curve!B40,Initial_magnetization_curve!E40,Initial_magnetization_curve!H40)*100</f>
      </c>
      <c r="C37" s="15">
        <f>STDEV(Initial_magnetization_curve!K40,Initial_magnetization_curve!N40,Initial_magnetization_curve!Q40)/AVERAGE(Initial_magnetization_curve!K40,Initial_magnetization_curve!N40,Initial_magnetization_curve!Q40)*100</f>
      </c>
      <c r="D37" s="11">
        <f>AVERAGE(Initial_magnetization_curve!D40,Initial_magnetization_curve!G40,Initial_magnetization_curve!J40,Initial_magnetization_curve!M40,Initial_magnetization_curve!P40,A37)</f>
      </c>
      <c r="E37" s="12">
        <f>STDEV(Initial_magnetization_curve!B40,Initial_magnetization_curve!E40,Initial_magnetization_curve!H40,Initial_magnetization_curve!K40,Initial_magnetization_curve!N40,Initial_magnetization_curve!Q40)/AVERAGE(Initial_magnetization_curve!B40,Initial_magnetization_curve!E40,Initial_magnetization_curve!H40,Initial_magnetization_curve!K40,Initial_magnetization_curve!N40,Initial_magnetization_curve!Q40)*100</f>
      </c>
      <c r="F37" s="11">
        <f>AVERAGE(Initial_magnetization_curve!A81,Initial_magnetization_curve!D81,Initial_magnetization_curve!G81,Initial_magnetization_curve!J81,Initial_magnetization_curve!M81,Initial_magnetization_curve!P81)</f>
      </c>
      <c r="G37" s="12">
        <f>STDEV(Initial_magnetization_curve!E81,Initial_magnetization_curve!N81)/AVERAGE(Initial_magnetization_curve!E81,Initial_magnetization_curve!N81)*100</f>
      </c>
      <c r="H37" s="11">
        <f>AVERAGE(Initial_magnetization_curve!A122,Initial_magnetization_curve!D122,Initial_magnetization_curve!G122,Initial_magnetization_curve!J122,Initial_magnetization_curve!M122,Initial_magnetization_curve!P122)</f>
      </c>
      <c r="I37" s="12">
        <f>STDEV(Initial_magnetization_curve!E122,Initial_magnetization_curve!N122)/AVERAGE(Initial_magnetization_curve!E122,Initial_magnetization_curve!N122)*100</f>
      </c>
      <c r="J37" s="16">
        <f>AVERAGE(Initial_magnetization_curve!D40,Initial_magnetization_curve!G40,Initial_magnetization_curve!J40,Initial_magnetization_curve!M40,Initial_magnetization_curve!P40,A37,Initial_magnetization_curve!D81,Initial_magnetization_curve!M81,Initial_magnetization_curve!D122,Initial_magnetization_curve!M122)</f>
      </c>
      <c r="K37" s="17">
        <f>STDEV(Initial_magnetization_curve!B40,Initial_magnetization_curve!E40,Initial_magnetization_curve!H40,Initial_magnetization_curve!K40,Initial_magnetization_curve!N40,Initial_magnetization_curve!Q40,Initial_magnetization_curve!E81,Initial_magnetization_curve!N81,Initial_magnetization_curve!E122,Initial_magnetization_curve!N122)/AVERAGE(Initial_magnetization_curve!B40,Initial_magnetization_curve!E40,Initial_magnetization_curve!H40,Initial_magnetization_curve!K40,Initial_magnetization_curve!N40,Initial_magnetization_curve!Q40,Initial_magnetization_curve!E81,Initial_magnetization_curve!N81,Initial_magnetization_curve!E122,Initial_magnetization_curve!N122)*100</f>
      </c>
    </row>
    <row x14ac:dyDescent="0.25" r="38" customHeight="1" ht="17.25">
      <c r="A38" s="18">
        <f>AVERAGE(Initial_magnetization_curve!A41,Initial_magnetization_curve!D41,Initial_magnetization_curve!G41,Initial_magnetization_curve!J41,Initial_magnetization_curve!M41,Initial_magnetization_curve!P41)</f>
      </c>
      <c r="B38" s="19">
        <f>STDEV(Initial_magnetization_curve!B41,Initial_magnetization_curve!E41,Initial_magnetization_curve!H41)/AVERAGE(Initial_magnetization_curve!B41,Initial_magnetization_curve!E41,Initial_magnetization_curve!H41)*100</f>
      </c>
      <c r="C38" s="19">
        <f>STDEV(Initial_magnetization_curve!K41,Initial_magnetization_curve!N41,Initial_magnetization_curve!Q41)/AVERAGE(Initial_magnetization_curve!K41,Initial_magnetization_curve!N41,Initial_magnetization_curve!Q41)*100</f>
      </c>
      <c r="D38" s="18">
        <f>AVERAGE(Initial_magnetization_curve!D41,Initial_magnetization_curve!G41,Initial_magnetization_curve!J41,Initial_magnetization_curve!M41,Initial_magnetization_curve!P41,A38)</f>
      </c>
      <c r="E38" s="20">
        <f>STDEV(Initial_magnetization_curve!B41,Initial_magnetization_curve!E41,Initial_magnetization_curve!H41,Initial_magnetization_curve!K41,Initial_magnetization_curve!N41,Initial_magnetization_curve!Q41)/AVERAGE(Initial_magnetization_curve!B41,Initial_magnetization_curve!E41,Initial_magnetization_curve!H41,Initial_magnetization_curve!K41,Initial_magnetization_curve!N41,Initial_magnetization_curve!Q41)*100</f>
      </c>
      <c r="F38" s="18">
        <f>AVERAGE(Initial_magnetization_curve!A82,Initial_magnetization_curve!D82,Initial_magnetization_curve!G82,Initial_magnetization_curve!J82,Initial_magnetization_curve!M82,Initial_magnetization_curve!P82)</f>
      </c>
      <c r="G38" s="20">
        <f>STDEV(Initial_magnetization_curve!E82,Initial_magnetization_curve!N82)/AVERAGE(Initial_magnetization_curve!E82,Initial_magnetization_curve!N82)*100</f>
      </c>
      <c r="H38" s="18">
        <f>AVERAGE(Initial_magnetization_curve!A123,Initial_magnetization_curve!D123,Initial_magnetization_curve!G123,Initial_magnetization_curve!J123,Initial_magnetization_curve!M123,Initial_magnetization_curve!P123)</f>
      </c>
      <c r="I38" s="20">
        <f>STDEV(Initial_magnetization_curve!E123,Initial_magnetization_curve!N123)/AVERAGE(Initial_magnetization_curve!E123,Initial_magnetization_curve!N123)*100</f>
      </c>
      <c r="J38" s="21">
        <f>AVERAGE(Initial_magnetization_curve!D41,Initial_magnetization_curve!G41,Initial_magnetization_curve!J41,Initial_magnetization_curve!M41,Initial_magnetization_curve!P41,A38,Initial_magnetization_curve!D82,Initial_magnetization_curve!M82,Initial_magnetization_curve!D123,Initial_magnetization_curve!M123)</f>
      </c>
      <c r="K38" s="22">
        <f>STDEV(Initial_magnetization_curve!B41,Initial_magnetization_curve!E41,Initial_magnetization_curve!H41,Initial_magnetization_curve!K41,Initial_magnetization_curve!N41,Initial_magnetization_curve!Q41,Initial_magnetization_curve!E82,Initial_magnetization_curve!N82,Initial_magnetization_curve!E123,Initial_magnetization_curve!N123)/AVERAGE(Initial_magnetization_curve!B41,Initial_magnetization_curve!E41,Initial_magnetization_curve!H41,Initial_magnetization_curve!K41,Initial_magnetization_curve!N41,Initial_magnetization_curve!Q41,Initial_magnetization_curve!E82,Initial_magnetization_curve!N82,Initial_magnetization_curve!E123,Initial_magnetization_curve!N123)*100</f>
      </c>
    </row>
  </sheetData>
  <mergeCells count="5"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Initial_magnetization_curve</vt:lpstr>
      <vt:lpstr>Major_hysteresis_loop</vt:lpstr>
      <vt:lpstr>Statistics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2026-04-17T12:14:50.644Z</dcterms:created>
  <dcterms:modified xsi:type="dcterms:W3CDTF">2026-04-17T12:14:50.644Z</dcterms:modified>
</cp:coreProperties>
</file>